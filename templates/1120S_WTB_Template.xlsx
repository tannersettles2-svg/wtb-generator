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6460" yWindow="11970" windowWidth="38700" windowHeight="15345" tabRatio="500" firstSheet="2" activeTab="8" autoFilterDateGrouping="1"/>
  </bookViews>
  <sheets>
    <sheet name="Instructions" sheetId="1" state="visible" r:id="rId1"/>
    <sheet name="P&amp;L" sheetId="2" state="visible" r:id="rId2"/>
    <sheet name=" Balance Sheet" sheetId="3" state="visible" r:id="rId3"/>
    <sheet name="PBC- Balance Sheet" sheetId="4" state="visible" r:id="rId4"/>
    <sheet name="PBC - P&amp;L2" sheetId="5" state="visible" r:id="rId5"/>
    <sheet name="Working Trial Balance" sheetId="6" state="visible" r:id="rId6"/>
    <sheet name="Adjusting Entries" sheetId="7" state="visible" r:id="rId7"/>
    <sheet name="Schedule K" sheetId="8" state="visible" r:id="rId8"/>
    <sheet name="Schedule M-1" sheetId="9" state="visible" r:id="rId9"/>
    <sheet name="Schedule M-2" sheetId="10" state="visible" r:id="rId10"/>
    <sheet name="Schedule L" sheetId="11" state="visible" r:id="rId11"/>
    <sheet name="7203 - Principal SH" sheetId="12" state="visible" r:id="rId12"/>
    <sheet name="Schedule M-3" sheetId="13" state="visible" r:id="rId13"/>
    <sheet name="7203 - SH2 (NA)" sheetId="14" state="visible" r:id="rId14"/>
    <sheet name="Strategy Inputs" sheetId="15" state="visible" r:id="rId15"/>
    <sheet name="Tax Strategies" sheetId="16" state="visible" r:id="rId16"/>
  </sheets>
  <definedNames/>
  <calcPr calcId="191029" fullCalcOnLoad="1" iterateDelta="0.0001"/>
</workbook>
</file>

<file path=xl/styles.xml><?xml version="1.0" encoding="utf-8"?>
<styleSheet xmlns="http://schemas.openxmlformats.org/spreadsheetml/2006/main">
  <numFmts count="3">
    <numFmt numFmtId="164" formatCode="#,##0;\(#,##0\);\-"/>
    <numFmt numFmtId="165" formatCode="\$#,##0.00"/>
    <numFmt numFmtId="166" formatCode="_(* #,##0_);_(* \(#,##0\);_(* &quot;-&quot;??_);_(@_)"/>
  </numFmts>
  <fonts count="44">
    <font>
      <name val="Calibri"/>
      <charset val="1"/>
      <family val="2"/>
      <color theme="1"/>
      <sz val="11"/>
    </font>
    <font>
      <name val="Calibri"/>
      <family val="2"/>
      <b val="1"/>
      <color rgb="FF1F4E79"/>
      <sz val="14"/>
    </font>
    <font>
      <name val="Calibri"/>
      <family val="2"/>
      <b val="1"/>
      <color rgb="FF2E75B6"/>
      <sz val="11"/>
    </font>
    <font>
      <name val="Calibri"/>
      <family val="2"/>
      <i val="1"/>
      <color rgb="FF666666"/>
      <sz val="10"/>
    </font>
    <font>
      <name val="Calibri"/>
      <family val="2"/>
      <b val="1"/>
      <color rgb="FFFFFFFF"/>
      <sz val="11"/>
    </font>
    <font>
      <name val="Calibri"/>
      <family val="2"/>
      <b val="1"/>
      <sz val="11"/>
    </font>
    <font>
      <name val="Arial"/>
      <family val="2"/>
      <b val="1"/>
      <color rgb="FFCC0000"/>
      <sz val="10"/>
    </font>
    <font>
      <name val="Calibri"/>
      <family val="2"/>
      <i val="1"/>
      <color rgb="FFCC0000"/>
      <sz val="10"/>
    </font>
    <font>
      <name val="Calibri"/>
      <family val="2"/>
      <b val="1"/>
      <color rgb="FFCC0000"/>
      <sz val="11"/>
    </font>
    <font>
      <name val="Arial"/>
      <family val="2"/>
      <b val="1"/>
      <color rgb="FFFFFFFF"/>
      <sz val="10"/>
    </font>
    <font>
      <name val="Calibri"/>
      <family val="2"/>
      <sz val="11"/>
    </font>
    <font>
      <name val="Calibri"/>
      <family val="2"/>
      <b val="1"/>
      <color rgb="FF0000FF"/>
      <sz val="11"/>
    </font>
    <font>
      <name val="Calibri"/>
      <family val="2"/>
      <sz val="10"/>
    </font>
    <font>
      <name val="Calibri"/>
      <family val="2"/>
      <b val="1"/>
      <sz val="14"/>
    </font>
    <font>
      <name val="Calibri"/>
      <family val="2"/>
      <b val="1"/>
      <sz val="12"/>
    </font>
    <font>
      <name val="Calibri"/>
      <family val="2"/>
      <b val="1"/>
      <color rgb="FFFFFFFF"/>
      <sz val="12"/>
    </font>
    <font>
      <name val="Calibri"/>
      <family val="2"/>
      <b val="1"/>
      <color rgb="FF2E75B6"/>
      <sz val="12"/>
    </font>
    <font>
      <name val="Calibri"/>
      <family val="2"/>
      <b val="1"/>
      <sz val="9"/>
    </font>
    <font>
      <name val="Calibri"/>
      <family val="2"/>
      <b val="1"/>
      <color rgb="FF2E75B6"/>
      <sz val="10"/>
    </font>
    <font>
      <name val="Calibri"/>
      <family val="2"/>
      <i val="1"/>
      <color rgb="FFCC0000"/>
      <sz val="11"/>
    </font>
    <font>
      <name val="Calibri"/>
      <family val="2"/>
      <b val="1"/>
      <color rgb="FF1F4E79"/>
      <sz val="13"/>
    </font>
    <font>
      <name val="Calibri"/>
      <charset val="1"/>
      <family val="2"/>
      <color theme="1"/>
      <sz val="11"/>
    </font>
    <font>
      <name val="Arial"/>
      <family val="2"/>
      <b val="1"/>
      <color theme="1"/>
      <sz val="14"/>
    </font>
    <font>
      <name val="Arial"/>
      <family val="2"/>
      <b val="1"/>
      <color theme="1"/>
      <sz val="12"/>
    </font>
    <font>
      <name val="Arial"/>
      <family val="2"/>
      <b val="1"/>
      <color theme="1"/>
      <sz val="10"/>
    </font>
    <font>
      <name val="Calibri"/>
      <family val="2"/>
      <b val="1"/>
      <color theme="1"/>
      <sz val="12"/>
      <scheme val="minor"/>
    </font>
    <font>
      <name val="Arial"/>
      <family val="2"/>
      <b val="1"/>
      <color theme="1"/>
      <sz val="9"/>
    </font>
    <font>
      <name val="Arial"/>
      <family val="2"/>
      <color theme="1"/>
      <sz val="8"/>
    </font>
    <font>
      <name val="Arial"/>
      <family val="2"/>
      <b val="1"/>
      <color theme="1"/>
      <sz val="8"/>
    </font>
    <font>
      <name val="Calibri"/>
      <family val="2"/>
      <color theme="1"/>
      <sz val="12"/>
      <scheme val="minor"/>
    </font>
    <font>
      <name val="Arial"/>
      <color rgb="FF008000"/>
      <sz val="10"/>
    </font>
    <font>
      <b val="1"/>
      <sz val="14"/>
    </font>
    <font>
      <b val="1"/>
      <i val="1"/>
      <sz val="11"/>
    </font>
    <font>
      <b val="1"/>
      <color rgb="00FF0000"/>
      <sz val="14"/>
    </font>
    <font>
      <i val="1"/>
      <color rgb="00666666"/>
    </font>
    <font>
      <i val="1"/>
      <color rgb="00999999"/>
    </font>
    <font>
      <color rgb="000000FF"/>
    </font>
    <font>
      <b val="1"/>
      <sz val="16"/>
    </font>
    <font>
      <b val="1"/>
      <sz val="13"/>
    </font>
    <font>
      <b val="1"/>
      <color rgb="000000FF"/>
      <sz val="11"/>
    </font>
    <font>
      <name val="Calibri"/>
      <b val="1"/>
      <color rgb="00F07840"/>
      <sz val="12"/>
    </font>
    <font>
      <name val="Calibri"/>
      <i val="1"/>
      <color rgb="00666666"/>
      <sz val="9"/>
    </font>
    <font>
      <name val="Calibri"/>
      <b val="1"/>
      <sz val="10"/>
    </font>
    <font>
      <name val="Calibri"/>
      <b val="1"/>
      <color rgb="00F07840"/>
      <sz val="10"/>
    </font>
  </fonts>
  <fills count="23">
    <fill>
      <patternFill/>
    </fill>
    <fill>
      <patternFill patternType="gray125"/>
    </fill>
    <fill>
      <patternFill patternType="solid">
        <fgColor rgb="FF1F4E79"/>
        <bgColor rgb="FF003366"/>
      </patternFill>
    </fill>
    <fill>
      <patternFill patternType="solid">
        <fgColor rgb="FFF2F2F2"/>
        <bgColor rgb="FFE2EFDA"/>
      </patternFill>
    </fill>
    <fill>
      <patternFill patternType="solid">
        <fgColor rgb="FFFFCCCC"/>
        <bgColor rgb="FFFFC7CE"/>
      </patternFill>
    </fill>
    <fill>
      <patternFill patternType="solid">
        <fgColor rgb="FF404040"/>
        <bgColor rgb="FF333300"/>
      </patternFill>
    </fill>
    <fill>
      <patternFill patternType="solid">
        <fgColor rgb="FF2E75B6"/>
        <bgColor rgb="FF0066CC"/>
      </patternFill>
    </fill>
    <fill>
      <patternFill patternType="solid">
        <fgColor rgb="FFFFF2CC"/>
        <bgColor rgb="FFFFFFCC"/>
      </patternFill>
    </fill>
    <fill>
      <patternFill patternType="solid">
        <fgColor rgb="FFFFFFCC"/>
        <bgColor rgb="FFFFF2CC"/>
      </patternFill>
    </fill>
    <fill>
      <patternFill patternType="solid">
        <fgColor rgb="FF1B5E20"/>
        <bgColor rgb="FF1F4E79"/>
      </patternFill>
    </fill>
    <fill>
      <patternFill patternType="solid">
        <fgColor rgb="FFD6E4F0"/>
        <bgColor rgb="FFE2EFDA"/>
      </patternFill>
    </fill>
    <fill>
      <patternFill patternType="solid">
        <fgColor rgb="FFE8D0FF"/>
        <bgColor rgb="FFE2D0F0"/>
      </patternFill>
    </fill>
    <fill>
      <patternFill patternType="solid">
        <fgColor rgb="FFFFC7CE"/>
        <bgColor rgb="FFFFCCCC"/>
      </patternFill>
    </fill>
    <fill>
      <patternFill patternType="solid">
        <fgColor rgb="FFE2D0F0"/>
        <bgColor rgb="FFE8D0FF"/>
      </patternFill>
    </fill>
    <fill>
      <patternFill patternType="solid">
        <fgColor rgb="FFE2EFDA"/>
        <bgColor rgb="FFF2F2F2"/>
      </patternFill>
    </fill>
    <fill>
      <patternFill patternType="solid">
        <fgColor rgb="FFFFFF00"/>
        <bgColor rgb="FFFFFF00"/>
      </patternFill>
    </fill>
    <fill>
      <patternFill patternType="solid">
        <fgColor rgb="FFFCE4D6"/>
        <bgColor rgb="FFFFF2CC"/>
      </patternFill>
    </fill>
    <fill>
      <patternFill patternType="solid">
        <fgColor rgb="FFC00000"/>
        <bgColor rgb="FFCC0000"/>
      </patternFill>
    </fill>
    <fill>
      <patternFill patternType="solid">
        <fgColor theme="0"/>
        <bgColor rgb="FFFFF2CC"/>
      </patternFill>
    </fill>
    <fill>
      <patternFill patternType="solid">
        <fgColor theme="0"/>
        <bgColor rgb="FFFFFF00"/>
      </patternFill>
    </fill>
    <fill>
      <patternFill patternType="solid">
        <fgColor rgb="00FFFF00"/>
      </patternFill>
    </fill>
    <fill>
      <patternFill patternType="solid">
        <fgColor rgb="00FFF8E7"/>
        <bgColor rgb="00FFF8E7"/>
      </patternFill>
    </fill>
    <fill>
      <patternFill patternType="solid">
        <fgColor rgb="00F0F0F0"/>
        <bgColor rgb="00F0F0F0"/>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00D0D0D0"/>
      </left>
      <right style="thin">
        <color rgb="00D0D0D0"/>
      </right>
      <top style="thin">
        <color rgb="00D0D0D0"/>
      </top>
      <bottom style="thin">
        <color rgb="00D0D0D0"/>
      </bottom>
    </border>
    <border>
      <bottom style="medium">
        <color rgb="00808080"/>
      </bottom>
    </border>
  </borders>
  <cellStyleXfs count="6">
    <xf numFmtId="0" fontId="21" fillId="0" borderId="0"/>
    <xf numFmtId="43" fontId="21" fillId="0" borderId="0"/>
    <xf numFmtId="0" fontId="25" fillId="0" borderId="3"/>
    <xf numFmtId="0" fontId="29" fillId="0" borderId="0"/>
    <xf numFmtId="0" fontId="25" fillId="0" borderId="0"/>
    <xf numFmtId="0" fontId="25" fillId="0" borderId="5"/>
  </cellStyleXfs>
  <cellXfs count="267">
    <xf numFmtId="0" fontId="0" fillId="0" borderId="0" pivotButton="0" quotePrefix="0" xfId="0"/>
    <xf numFmtId="0" fontId="7" fillId="0" borderId="0" pivotButton="0" quotePrefix="0" xfId="0"/>
    <xf numFmtId="0" fontId="4" fillId="6" borderId="1" pivotButton="0" quotePrefix="0" xfId="0"/>
    <xf numFmtId="0" fontId="7" fillId="0" borderId="0" applyAlignment="1" pivotButton="0" quotePrefix="0" xfId="0">
      <alignment vertical="top" wrapText="1"/>
    </xf>
    <xf numFmtId="0" fontId="10" fillId="0" borderId="0" pivotButton="0" quotePrefix="0" xfId="0"/>
    <xf numFmtId="0" fontId="9" fillId="5"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1" pivotButton="0" quotePrefix="0" xfId="0"/>
    <xf numFmtId="0" fontId="0" fillId="0" borderId="0" applyAlignment="1" pivotButton="0" quotePrefix="0" xfId="0">
      <alignment indent="2"/>
    </xf>
    <xf numFmtId="164" fontId="0" fillId="0" borderId="0" pivotButton="0" quotePrefix="0" xfId="0"/>
    <xf numFmtId="0" fontId="5" fillId="0" borderId="0" pivotButton="0" quotePrefix="0" xfId="0"/>
    <xf numFmtId="164" fontId="5" fillId="0" borderId="1" pivotButton="0" quotePrefix="0" xfId="0"/>
    <xf numFmtId="0" fontId="3" fillId="0" borderId="0" applyAlignment="1" pivotButton="0" quotePrefix="0" xfId="0">
      <alignment indent="3"/>
    </xf>
    <xf numFmtId="0" fontId="6" fillId="4" borderId="1" applyAlignment="1" pivotButton="0" quotePrefix="0" xfId="0">
      <alignment horizontal="center" vertical="center" wrapText="1"/>
    </xf>
    <xf numFmtId="164" fontId="6" fillId="4" borderId="0" pivotButton="0" quotePrefix="0" xfId="0"/>
    <xf numFmtId="164" fontId="6" fillId="4" borderId="1" pivotButton="0" quotePrefix="0" xfId="0"/>
    <xf numFmtId="164" fontId="8" fillId="0" borderId="0" pivotButton="0" quotePrefix="0" xfId="0"/>
    <xf numFmtId="0" fontId="4" fillId="2" borderId="1" applyAlignment="1" pivotButton="0" quotePrefix="0" xfId="0">
      <alignment horizontal="center" vertical="top" wrapText="1"/>
    </xf>
    <xf numFmtId="0" fontId="10" fillId="0" borderId="1" applyAlignment="1" pivotButton="0" quotePrefix="0" xfId="0">
      <alignment horizontal="center" vertical="center"/>
    </xf>
    <xf numFmtId="0" fontId="10" fillId="0" borderId="1" applyAlignment="1" pivotButton="0" quotePrefix="0" xfId="0">
      <alignment vertical="top" wrapText="1"/>
    </xf>
    <xf numFmtId="164" fontId="11" fillId="7" borderId="1" applyAlignment="1" pivotButton="0" quotePrefix="0" xfId="0">
      <alignment horizontal="right" vertical="center"/>
    </xf>
    <xf numFmtId="164" fontId="12" fillId="0" borderId="1" applyAlignment="1" pivotButton="0" quotePrefix="0" xfId="0">
      <alignment horizontal="right" vertical="center"/>
    </xf>
    <xf numFmtId="0" fontId="12" fillId="0" borderId="1" applyAlignment="1" pivotButton="0" quotePrefix="0" xfId="0">
      <alignment vertical="top" wrapText="1"/>
    </xf>
    <xf numFmtId="0" fontId="12" fillId="0" borderId="1" applyAlignment="1" pivotButton="0" quotePrefix="0" xfId="0">
      <alignment horizontal="center" vertical="center"/>
    </xf>
    <xf numFmtId="0" fontId="10" fillId="3" borderId="1" applyAlignment="1" pivotButton="0" quotePrefix="0" xfId="0">
      <alignment horizontal="center" vertical="center"/>
    </xf>
    <xf numFmtId="0" fontId="10" fillId="3" borderId="1" applyAlignment="1" pivotButton="0" quotePrefix="0" xfId="0">
      <alignment vertical="top" wrapText="1"/>
    </xf>
    <xf numFmtId="0" fontId="0" fillId="3" borderId="1" pivotButton="0" quotePrefix="0" xfId="0"/>
    <xf numFmtId="0" fontId="12" fillId="3" borderId="1" applyAlignment="1" pivotButton="0" quotePrefix="0" xfId="0">
      <alignment vertical="top" wrapText="1"/>
    </xf>
    <xf numFmtId="0" fontId="12" fillId="3" borderId="1" applyAlignment="1" pivotButton="0" quotePrefix="0" xfId="0">
      <alignment horizontal="center" vertical="center"/>
    </xf>
    <xf numFmtId="164" fontId="12" fillId="3" borderId="1" applyAlignment="1" pivotButton="0" quotePrefix="0" xfId="0">
      <alignment horizontal="right" vertical="center"/>
    </xf>
    <xf numFmtId="0" fontId="0" fillId="0" borderId="1" pivotButton="0" quotePrefix="0" xfId="0"/>
    <xf numFmtId="164" fontId="5" fillId="0" borderId="2" pivotButton="0" quotePrefix="0" xfId="0"/>
    <xf numFmtId="0" fontId="10" fillId="3" borderId="1" pivotButton="0" quotePrefix="0" xfId="0"/>
    <xf numFmtId="164" fontId="10" fillId="3" borderId="1" pivotButton="0" quotePrefix="0" xfId="0"/>
    <xf numFmtId="0" fontId="10" fillId="0" borderId="1" pivotButton="0" quotePrefix="0" xfId="0"/>
    <xf numFmtId="0" fontId="10" fillId="8" borderId="1" applyAlignment="1" pivotButton="0" quotePrefix="0" xfId="0">
      <alignment vertical="top" wrapText="1"/>
    </xf>
    <xf numFmtId="164" fontId="10" fillId="0" borderId="1" pivotButton="0" quotePrefix="0" xfId="0"/>
    <xf numFmtId="164" fontId="5" fillId="0" borderId="0" pivotButton="0" quotePrefix="0" xfId="0"/>
    <xf numFmtId="164" fontId="14" fillId="0" borderId="2" pivotButton="0" quotePrefix="0" xfId="0"/>
    <xf numFmtId="0" fontId="10" fillId="10" borderId="1" applyAlignment="1" pivotButton="0" quotePrefix="0" xfId="0">
      <alignment vertical="top" wrapText="1"/>
    </xf>
    <xf numFmtId="0" fontId="10" fillId="11" borderId="1" applyAlignment="1" pivotButton="0" quotePrefix="0" xfId="0">
      <alignment vertical="top" wrapText="1"/>
    </xf>
    <xf numFmtId="0" fontId="5" fillId="0" borderId="1" pivotButton="0" quotePrefix="0" xfId="0"/>
    <xf numFmtId="0" fontId="5" fillId="0" borderId="1" applyAlignment="1" pivotButton="0" quotePrefix="0" xfId="0">
      <alignment horizontal="center" vertical="center"/>
    </xf>
    <xf numFmtId="9" fontId="10" fillId="0" borderId="0" pivotButton="0" quotePrefix="0" xfId="0"/>
    <xf numFmtId="164" fontId="8" fillId="12" borderId="1" pivotButton="0" quotePrefix="0" xfId="0"/>
    <xf numFmtId="0" fontId="7" fillId="0" borderId="1" applyAlignment="1" pivotButton="0" quotePrefix="0" xfId="0">
      <alignment vertical="top" wrapText="1"/>
    </xf>
    <xf numFmtId="0" fontId="5" fillId="3" borderId="1" applyAlignment="1" pivotButton="0" quotePrefix="0" xfId="0">
      <alignment horizontal="center" vertical="center"/>
    </xf>
    <xf numFmtId="0" fontId="5" fillId="3" borderId="1" applyAlignment="1" pivotButton="0" quotePrefix="0" xfId="0">
      <alignment vertical="top" wrapText="1"/>
    </xf>
    <xf numFmtId="164" fontId="5" fillId="3" borderId="1" pivotButton="0" quotePrefix="0" xfId="0"/>
    <xf numFmtId="0" fontId="7" fillId="3" borderId="1" applyAlignment="1" pivotButton="0" quotePrefix="0" xfId="0">
      <alignment vertical="top" wrapText="1"/>
    </xf>
    <xf numFmtId="9" fontId="0" fillId="0" borderId="0" pivotButton="0" quotePrefix="0" xfId="0"/>
    <xf numFmtId="0" fontId="5" fillId="0" borderId="1" applyAlignment="1" pivotButton="0" quotePrefix="0" xfId="0">
      <alignment vertical="top" wrapText="1"/>
    </xf>
    <xf numFmtId="0" fontId="12" fillId="0" borderId="0" pivotButton="0" quotePrefix="0" xfId="0"/>
    <xf numFmtId="0" fontId="5" fillId="10" borderId="1" applyAlignment="1" pivotButton="0" quotePrefix="0" xfId="0">
      <alignment horizontal="center" vertical="center"/>
    </xf>
    <xf numFmtId="0" fontId="5" fillId="10" borderId="1" pivotButton="0" quotePrefix="0" xfId="0"/>
    <xf numFmtId="164" fontId="5" fillId="10" borderId="2" pivotButton="0" quotePrefix="0" xfId="0"/>
    <xf numFmtId="164" fontId="5" fillId="10" borderId="1" pivotButton="0" quotePrefix="0" xfId="0"/>
    <xf numFmtId="0" fontId="5" fillId="10" borderId="1" applyAlignment="1" pivotButton="0" quotePrefix="0" xfId="0">
      <alignment vertical="top" wrapText="1"/>
    </xf>
    <xf numFmtId="0" fontId="0" fillId="0" borderId="0" applyAlignment="1" pivotButton="0" quotePrefix="0" xfId="0">
      <alignment wrapText="1"/>
    </xf>
    <xf numFmtId="0" fontId="0" fillId="0" borderId="1" applyAlignment="1" pivotButton="0" quotePrefix="0" xfId="0">
      <alignment vertical="top" indent="1"/>
    </xf>
    <xf numFmtId="164" fontId="0" fillId="0" borderId="1" applyAlignment="1" pivotButton="0" quotePrefix="0" xfId="0">
      <alignment horizontal="right" vertical="top"/>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5" fillId="0" borderId="2" pivotButton="0" quotePrefix="0" xfId="0"/>
    <xf numFmtId="0" fontId="14" fillId="0" borderId="2" pivotButton="0" quotePrefix="0" xfId="0"/>
    <xf numFmtId="0" fontId="0" fillId="0" borderId="2" pivotButton="0" quotePrefix="0" xfId="0"/>
    <xf numFmtId="0" fontId="0" fillId="13" borderId="1" applyAlignment="1" pivotButton="0" quotePrefix="0" xfId="0">
      <alignment vertical="top" indent="1"/>
    </xf>
    <xf numFmtId="0" fontId="0" fillId="13" borderId="1" applyAlignment="1" pivotButton="0" quotePrefix="0" xfId="0">
      <alignment horizontal="center" vertical="top" wrapText="1"/>
    </xf>
    <xf numFmtId="0" fontId="0" fillId="13" borderId="1" applyAlignment="1" pivotButton="0" quotePrefix="0" xfId="0">
      <alignment vertical="top" wrapText="1"/>
    </xf>
    <xf numFmtId="0" fontId="15" fillId="6" borderId="0" pivotButton="0" quotePrefix="0" xfId="0"/>
    <xf numFmtId="0" fontId="0" fillId="14" borderId="1" applyAlignment="1" pivotButton="0" quotePrefix="0" xfId="0">
      <alignment vertical="top" indent="1"/>
    </xf>
    <xf numFmtId="0" fontId="0" fillId="14" borderId="1" applyAlignment="1" pivotButton="0" quotePrefix="0" xfId="0">
      <alignment horizontal="center" vertical="top" wrapText="1"/>
    </xf>
    <xf numFmtId="0" fontId="0" fillId="14" borderId="1" applyAlignment="1" pivotButton="0" quotePrefix="0" xfId="0">
      <alignment vertical="top" wrapText="1"/>
    </xf>
    <xf numFmtId="164" fontId="0" fillId="15" borderId="1" applyAlignment="1" pivotButton="0" quotePrefix="0" xfId="0">
      <alignment horizontal="right" vertical="top"/>
    </xf>
    <xf numFmtId="0" fontId="0" fillId="7" borderId="1" applyAlignment="1" pivotButton="0" quotePrefix="0" xfId="0">
      <alignment vertical="top" indent="1"/>
    </xf>
    <xf numFmtId="0" fontId="0" fillId="7" borderId="1" applyAlignment="1" pivotButton="0" quotePrefix="0" xfId="0">
      <alignment horizontal="center" vertical="top" wrapText="1"/>
    </xf>
    <xf numFmtId="0" fontId="0" fillId="7" borderId="1" applyAlignment="1" pivotButton="0" quotePrefix="0" xfId="0">
      <alignment vertical="top" wrapText="1"/>
    </xf>
    <xf numFmtId="0" fontId="0" fillId="16" borderId="1" applyAlignment="1" pivotButton="0" quotePrefix="0" xfId="0">
      <alignment vertical="top" indent="1"/>
    </xf>
    <xf numFmtId="0" fontId="0" fillId="16" borderId="1" applyAlignment="1" pivotButton="0" quotePrefix="0" xfId="0">
      <alignment horizontal="center" vertical="top" wrapText="1"/>
    </xf>
    <xf numFmtId="0" fontId="0" fillId="16" borderId="1" applyAlignment="1" pivotButton="0" quotePrefix="0" xfId="0">
      <alignment vertical="top" wrapText="1"/>
    </xf>
    <xf numFmtId="0" fontId="18" fillId="0" borderId="0" pivotButton="0" quotePrefix="0" xfId="0"/>
    <xf numFmtId="164" fontId="0" fillId="0" borderId="1" pivotButton="0" quotePrefix="0" xfId="0"/>
    <xf numFmtId="0" fontId="15" fillId="2" borderId="0" pivotButton="0" quotePrefix="0" xfId="0"/>
    <xf numFmtId="164" fontId="0" fillId="7" borderId="0" pivotButton="0" quotePrefix="0" xfId="0"/>
    <xf numFmtId="164" fontId="0" fillId="16" borderId="0" pivotButton="0" quotePrefix="0" xfId="0"/>
    <xf numFmtId="164" fontId="0" fillId="14" borderId="0" pivotButton="0" quotePrefix="0" xfId="0"/>
    <xf numFmtId="164" fontId="0" fillId="13" borderId="0" pivotButton="0" quotePrefix="0" xfId="0"/>
    <xf numFmtId="0" fontId="19" fillId="0" borderId="0" pivotButton="0" quotePrefix="0" xfId="0"/>
    <xf numFmtId="0" fontId="3" fillId="0" borderId="0" applyAlignment="1" pivotButton="0" quotePrefix="0" xfId="0">
      <alignment indent="2"/>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4" fillId="0" borderId="2" applyAlignment="1" pivotButton="0" quotePrefix="0" xfId="0">
      <alignment horizontal="center" vertical="top" wrapText="1"/>
    </xf>
    <xf numFmtId="0" fontId="14" fillId="0" borderId="2" applyAlignment="1" pivotButton="0" quotePrefix="0" xfId="0">
      <alignment vertical="top" wrapText="1"/>
    </xf>
    <xf numFmtId="164" fontId="8" fillId="12" borderId="0" pivotButton="0" quotePrefix="0" xfId="0"/>
    <xf numFmtId="164" fontId="10" fillId="0" borderId="0" pivotButton="0" quotePrefix="0" xfId="0"/>
    <xf numFmtId="0" fontId="10" fillId="0" borderId="0" applyAlignment="1" pivotButton="0" quotePrefix="0" xfId="0">
      <alignment vertical="top" wrapText="1"/>
    </xf>
    <xf numFmtId="164" fontId="10" fillId="8" borderId="0" pivotButton="0" quotePrefix="0" xfId="0"/>
    <xf numFmtId="0" fontId="8" fillId="0" borderId="0" pivotButton="0" quotePrefix="0" xfId="0"/>
    <xf numFmtId="164" fontId="8" fillId="0" borderId="2" pivotButton="0" quotePrefix="0" xfId="0"/>
    <xf numFmtId="164" fontId="0" fillId="16" borderId="1" pivotButton="0" quotePrefix="0" xfId="0"/>
    <xf numFmtId="164" fontId="0" fillId="7" borderId="1" pivotButton="0" quotePrefix="0" xfId="0"/>
    <xf numFmtId="0" fontId="5" fillId="0" borderId="2" applyAlignment="1" pivotButton="0" quotePrefix="0" xfId="0">
      <alignment horizontal="center" wrapText="1"/>
    </xf>
    <xf numFmtId="0" fontId="10" fillId="0" borderId="0" applyAlignment="1" pivotButton="0" quotePrefix="0" xfId="0">
      <alignment wrapText="1"/>
    </xf>
    <xf numFmtId="0" fontId="26" fillId="0" borderId="3" applyAlignment="1" pivotButton="0" quotePrefix="0" xfId="2">
      <alignment horizontal="center" wrapText="1"/>
    </xf>
    <xf numFmtId="0" fontId="26" fillId="0" borderId="4" applyAlignment="1" pivotButton="0" quotePrefix="0" xfId="2">
      <alignment horizontal="center" wrapText="1"/>
    </xf>
    <xf numFmtId="0" fontId="27" fillId="0" borderId="0" applyAlignment="1" pivotButton="0" quotePrefix="0" xfId="0">
      <alignment horizontal="left" wrapText="1"/>
    </xf>
    <xf numFmtId="0" fontId="27" fillId="0" borderId="0" applyAlignment="1" pivotButton="0" quotePrefix="0" xfId="0">
      <alignment horizontal="left" wrapText="1" indent="1"/>
    </xf>
    <xf numFmtId="0" fontId="27" fillId="0" borderId="0" applyAlignment="1" pivotButton="0" quotePrefix="0" xfId="0">
      <alignment horizontal="left" wrapText="1" indent="2"/>
    </xf>
    <xf numFmtId="0" fontId="27" fillId="0" borderId="0" applyAlignment="1" pivotButton="0" quotePrefix="0" xfId="0">
      <alignment horizontal="left" wrapText="1" indent="3"/>
    </xf>
    <xf numFmtId="0" fontId="27" fillId="0" borderId="0" applyAlignment="1" pivotButton="0" quotePrefix="0" xfId="0">
      <alignment wrapText="1"/>
    </xf>
    <xf numFmtId="0" fontId="27" fillId="0" borderId="0" applyAlignment="1" pivotButton="0" quotePrefix="0" xfId="0">
      <alignment horizontal="left" wrapText="1" indent="4"/>
    </xf>
    <xf numFmtId="4" fontId="27" fillId="0" borderId="0" applyAlignment="1" pivotButton="0" quotePrefix="0" xfId="0">
      <alignment wrapText="1"/>
    </xf>
    <xf numFmtId="0" fontId="28" fillId="0" borderId="0" applyAlignment="1" pivotButton="0" quotePrefix="0" xfId="0">
      <alignment horizontal="left" wrapText="1" indent="3"/>
    </xf>
    <xf numFmtId="165" fontId="28" fillId="0" borderId="5" applyAlignment="1" pivotButton="0" quotePrefix="0" xfId="0">
      <alignment wrapText="1"/>
    </xf>
    <xf numFmtId="0" fontId="28" fillId="0" borderId="0" applyAlignment="1" pivotButton="0" quotePrefix="0" xfId="0">
      <alignment horizontal="left" wrapText="1" indent="2"/>
    </xf>
    <xf numFmtId="0" fontId="28" fillId="0" borderId="0" applyAlignment="1" pivotButton="0" quotePrefix="0" xfId="0">
      <alignment horizontal="left" wrapText="1" indent="1"/>
    </xf>
    <xf numFmtId="4" fontId="28" fillId="0" borderId="5" applyAlignment="1" pivotButton="0" quotePrefix="0" xfId="0">
      <alignment wrapText="1"/>
    </xf>
    <xf numFmtId="0" fontId="28" fillId="0" borderId="0" applyAlignment="1" pivotButton="0" quotePrefix="0" xfId="0">
      <alignment horizontal="left" wrapText="1"/>
    </xf>
    <xf numFmtId="0" fontId="27" fillId="0" borderId="0" applyAlignment="1" pivotButton="0" quotePrefix="0" xfId="0">
      <alignment horizontal="left" wrapText="1" indent="5"/>
    </xf>
    <xf numFmtId="0" fontId="28" fillId="0" borderId="0" applyAlignment="1" pivotButton="0" quotePrefix="0" xfId="0">
      <alignment horizontal="left" wrapText="1" indent="4"/>
    </xf>
    <xf numFmtId="0" fontId="29" fillId="0" borderId="0" pivotButton="0" quotePrefix="0" xfId="3"/>
    <xf numFmtId="0" fontId="27" fillId="0" borderId="0" applyAlignment="1" pivotButton="0" quotePrefix="0" xfId="3">
      <alignment horizontal="left" wrapText="1"/>
    </xf>
    <xf numFmtId="0" fontId="27" fillId="0" borderId="0" applyAlignment="1" pivotButton="0" quotePrefix="0" xfId="3">
      <alignment horizontal="left" wrapText="1" indent="1"/>
    </xf>
    <xf numFmtId="0" fontId="28" fillId="0" borderId="0" applyAlignment="1" pivotButton="0" quotePrefix="0" xfId="3">
      <alignment horizontal="left" wrapText="1"/>
    </xf>
    <xf numFmtId="0" fontId="27" fillId="0" borderId="0" applyAlignment="1" pivotButton="0" quotePrefix="0" xfId="3">
      <alignment horizontal="left" wrapText="1" indent="2"/>
    </xf>
    <xf numFmtId="0" fontId="28" fillId="0" borderId="0" applyAlignment="1" pivotButton="0" quotePrefix="0" xfId="3">
      <alignment horizontal="left" wrapText="1" indent="1"/>
    </xf>
    <xf numFmtId="0" fontId="27" fillId="0" borderId="0" applyAlignment="1" pivotButton="0" quotePrefix="0" xfId="3">
      <alignment horizontal="left" wrapText="1" indent="3"/>
    </xf>
    <xf numFmtId="0" fontId="28" fillId="0" borderId="0" applyAlignment="1" pivotButton="0" quotePrefix="0" xfId="3">
      <alignment horizontal="left" wrapText="1" indent="2"/>
    </xf>
    <xf numFmtId="4" fontId="27" fillId="0" borderId="0" applyAlignment="1" pivotButton="0" quotePrefix="0" xfId="3">
      <alignment wrapText="1"/>
    </xf>
    <xf numFmtId="165" fontId="28" fillId="0" borderId="5" applyAlignment="1" pivotButton="0" quotePrefix="0" xfId="3">
      <alignment wrapText="1"/>
    </xf>
    <xf numFmtId="0" fontId="27" fillId="0" borderId="0" applyAlignment="1" pivotButton="0" quotePrefix="0" xfId="3">
      <alignment wrapText="1"/>
    </xf>
    <xf numFmtId="4" fontId="28" fillId="0" borderId="5" applyAlignment="1" pivotButton="0" quotePrefix="0" xfId="3">
      <alignment wrapText="1"/>
    </xf>
    <xf numFmtId="37" fontId="0" fillId="0" borderId="0" pivotButton="0" quotePrefix="0" xfId="0"/>
    <xf numFmtId="166" fontId="0" fillId="0" borderId="0" pivotButton="0" quotePrefix="0" xfId="1"/>
    <xf numFmtId="0" fontId="10" fillId="3" borderId="6" applyAlignment="1" pivotButton="0" quotePrefix="0" xfId="0">
      <alignment vertical="top" wrapText="1"/>
    </xf>
    <xf numFmtId="0" fontId="0" fillId="18" borderId="1" applyAlignment="1" pivotButton="0" quotePrefix="0" xfId="0">
      <alignment vertical="top" indent="1"/>
    </xf>
    <xf numFmtId="0" fontId="0" fillId="18" borderId="1" applyAlignment="1" pivotButton="0" quotePrefix="0" xfId="0">
      <alignment horizontal="center" vertical="top" wrapText="1"/>
    </xf>
    <xf numFmtId="164" fontId="0" fillId="19" borderId="1" applyAlignment="1" pivotButton="0" quotePrefix="0" xfId="0">
      <alignment horizontal="right" vertical="top"/>
    </xf>
    <xf numFmtId="164" fontId="30" fillId="3" borderId="1" pivotButton="0" quotePrefix="0" xfId="0"/>
    <xf numFmtId="164" fontId="30" fillId="0" borderId="1" pivotButton="0" quotePrefix="0" xfId="0"/>
    <xf numFmtId="0" fontId="30" fillId="0" borderId="1" pivotButton="0" quotePrefix="0" xfId="0"/>
    <xf numFmtId="0" fontId="4" fillId="17" borderId="0" pivotButton="0" quotePrefix="0" xfId="0"/>
    <xf numFmtId="0" fontId="0" fillId="0" borderId="0" pivotButton="0" quotePrefix="0" xfId="0"/>
    <xf numFmtId="0" fontId="20" fillId="0" borderId="0" pivotButton="0" quotePrefix="0" xfId="0"/>
    <xf numFmtId="0" fontId="7" fillId="0" borderId="0" pivotButton="0" quotePrefix="0" xfId="0"/>
    <xf numFmtId="0" fontId="4" fillId="6" borderId="0" pivotButton="0" quotePrefix="0" xfId="0"/>
    <xf numFmtId="0" fontId="2" fillId="0" borderId="0" pivotButton="0" quotePrefix="0" xfId="0"/>
    <xf numFmtId="0" fontId="4" fillId="2" borderId="0" pivotButton="0" quotePrefix="0" xfId="0"/>
    <xf numFmtId="0" fontId="3" fillId="0" borderId="0" pivotButton="0" quotePrefix="0" xfId="0"/>
    <xf numFmtId="0" fontId="1" fillId="0" borderId="0" pivotButton="0" quotePrefix="0" xfId="0"/>
    <xf numFmtId="0" fontId="22" fillId="0" borderId="0" applyAlignment="1" pivotButton="0" quotePrefix="0" xfId="0">
      <alignment horizontal="center" wrapText="1"/>
    </xf>
    <xf numFmtId="0" fontId="0" fillId="0" borderId="0" applyAlignment="1" pivotButton="0" quotePrefix="0" xfId="0">
      <alignment wrapText="1"/>
    </xf>
    <xf numFmtId="0" fontId="27" fillId="0" borderId="0" applyAlignment="1" pivotButton="0" quotePrefix="0" xfId="0">
      <alignment horizontal="center" wrapText="1"/>
    </xf>
    <xf numFmtId="0" fontId="26" fillId="0" borderId="3" applyAlignment="1" pivotButton="0" quotePrefix="0" xfId="2">
      <alignment horizontal="center" wrapText="1"/>
    </xf>
    <xf numFmtId="0" fontId="0" fillId="0" borderId="3" pivotButton="0" quotePrefix="0" xfId="0"/>
    <xf numFmtId="0" fontId="24" fillId="0" borderId="0" applyAlignment="1" pivotButton="0" quotePrefix="0" xfId="0">
      <alignment horizontal="center" wrapText="1"/>
    </xf>
    <xf numFmtId="0" fontId="23" fillId="0" borderId="0" applyAlignment="1" pivotButton="0" quotePrefix="0" xfId="0">
      <alignment horizontal="center" wrapText="1"/>
    </xf>
    <xf numFmtId="0" fontId="22" fillId="0" borderId="0" applyAlignment="1" pivotButton="0" quotePrefix="0" xfId="3">
      <alignment horizontal="center" wrapText="1"/>
    </xf>
    <xf numFmtId="0" fontId="27" fillId="0" borderId="0" applyAlignment="1" pivotButton="0" quotePrefix="0" xfId="3">
      <alignment horizontal="center" wrapText="1"/>
    </xf>
    <xf numFmtId="0" fontId="24" fillId="0" borderId="0" applyAlignment="1" pivotButton="0" quotePrefix="0" xfId="3">
      <alignment horizontal="center" wrapText="1"/>
    </xf>
    <xf numFmtId="0" fontId="23" fillId="0" borderId="0" applyAlignment="1" pivotButton="0" quotePrefix="0" xfId="3">
      <alignment horizontal="center" wrapText="1"/>
    </xf>
    <xf numFmtId="0" fontId="15" fillId="6" borderId="0" pivotButton="0" quotePrefix="0" xfId="0"/>
    <xf numFmtId="0" fontId="16" fillId="0" borderId="0" pivotButton="0" quotePrefix="0" xfId="0"/>
    <xf numFmtId="166" fontId="0" fillId="0" borderId="0" pivotButton="0" quotePrefix="0" xfId="1"/>
    <xf numFmtId="0" fontId="17" fillId="0" borderId="0" pivotButton="0" quotePrefix="0" xfId="0"/>
    <xf numFmtId="0" fontId="13" fillId="0" borderId="0" pivotButton="0" quotePrefix="0" xfId="0"/>
    <xf numFmtId="0" fontId="7" fillId="0" borderId="0" applyAlignment="1" pivotButton="0" quotePrefix="0" xfId="0">
      <alignment vertical="top" wrapText="1"/>
    </xf>
    <xf numFmtId="0" fontId="10" fillId="0" borderId="0" pivotButton="0" quotePrefix="0" xfId="0"/>
    <xf numFmtId="0" fontId="3" fillId="0" borderId="0" applyAlignment="1" pivotButton="0" quotePrefix="0" xfId="0">
      <alignment vertical="top" wrapText="1"/>
    </xf>
    <xf numFmtId="0" fontId="14" fillId="10" borderId="0" pivotButton="0" quotePrefix="0" xfId="0"/>
    <xf numFmtId="0" fontId="5" fillId="10" borderId="0" pivotButton="0" quotePrefix="0" xfId="0"/>
    <xf numFmtId="0" fontId="12" fillId="0" borderId="0" applyAlignment="1" pivotButton="0" quotePrefix="0" xfId="0">
      <alignment vertical="top" wrapText="1"/>
    </xf>
    <xf numFmtId="0" fontId="5" fillId="0" borderId="0" pivotButton="0" quotePrefix="0" xfId="0"/>
    <xf numFmtId="0" fontId="15" fillId="17" borderId="0" pivotButton="0" quotePrefix="0" xfId="0"/>
    <xf numFmtId="0" fontId="18" fillId="0" borderId="0" pivotButton="0" quotePrefix="0" xfId="0"/>
    <xf numFmtId="0" fontId="4" fillId="6" borderId="1" pivotButton="0" quotePrefix="0" xfId="0"/>
    <xf numFmtId="0" fontId="0" fillId="0" borderId="4" pivotButton="0" quotePrefix="0" xfId="0"/>
    <xf numFmtId="0" fontId="0" fillId="0" borderId="7" pivotButton="0" quotePrefix="0" xfId="0"/>
    <xf numFmtId="0" fontId="9" fillId="5" borderId="0" pivotButton="0" quotePrefix="0" xfId="0"/>
    <xf numFmtId="0" fontId="15" fillId="9" borderId="1" pivotButton="0" quotePrefix="0" xfId="0"/>
    <xf numFmtId="0" fontId="37" fillId="0" borderId="0" pivotButton="0" quotePrefix="0" xfId="0"/>
    <xf numFmtId="0" fontId="34" fillId="0" borderId="0" pivotButton="0" quotePrefix="0" xfId="0"/>
    <xf numFmtId="0" fontId="38" fillId="0" borderId="0" pivotButton="0" quotePrefix="0" xfId="0"/>
    <xf numFmtId="0" fontId="39" fillId="0" borderId="0" pivotButton="0" quotePrefix="0" xfId="0"/>
    <xf numFmtId="164" fontId="36" fillId="20" borderId="0" pivotButton="0" quotePrefix="0" xfId="0"/>
    <xf numFmtId="164" fontId="36" fillId="20" borderId="1" pivotButton="0" quotePrefix="0" xfId="0"/>
    <xf numFmtId="0" fontId="33" fillId="0" borderId="0" applyAlignment="1" pivotButton="0" quotePrefix="0" xfId="0">
      <alignment horizontal="center" wrapText="1"/>
    </xf>
    <xf numFmtId="0" fontId="34" fillId="0" borderId="0" applyAlignment="1" pivotButton="0" quotePrefix="0" xfId="0">
      <alignment horizontal="center" wrapText="1"/>
    </xf>
    <xf numFmtId="165" fontId="35" fillId="20" borderId="5" applyAlignment="1" pivotButton="0" quotePrefix="0" xfId="0">
      <alignment wrapText="1"/>
    </xf>
    <xf numFmtId="0" fontId="33" fillId="0" borderId="0" applyAlignment="1" pivotButton="0" quotePrefix="0" xfId="3">
      <alignment horizontal="center" wrapText="1"/>
    </xf>
    <xf numFmtId="0" fontId="34" fillId="0" borderId="0" applyAlignment="1" pivotButton="0" quotePrefix="0" xfId="3">
      <alignment horizontal="center" wrapText="1"/>
    </xf>
    <xf numFmtId="165" fontId="35" fillId="20" borderId="5" applyAlignment="1" pivotButton="0" quotePrefix="0" xfId="3">
      <alignment wrapText="1"/>
    </xf>
    <xf numFmtId="0" fontId="31" fillId="0" borderId="0" pivotButton="0" quotePrefix="0" xfId="0"/>
    <xf numFmtId="0" fontId="32" fillId="0" borderId="0" pivotButton="0" quotePrefix="0" xfId="0"/>
    <xf numFmtId="0" fontId="36" fillId="20" borderId="0" pivotButton="0" quotePrefix="0" xfId="0"/>
    <xf numFmtId="166" fontId="36" fillId="20" borderId="0" pivotButton="0" quotePrefix="0" xfId="1"/>
    <xf numFmtId="9" fontId="35" fillId="20" borderId="0" pivotButton="0" quotePrefix="0" xfId="0"/>
    <xf numFmtId="0" fontId="36" fillId="20" borderId="1" pivotButton="0" quotePrefix="0" xfId="0"/>
    <xf numFmtId="164" fontId="36" fillId="20" borderId="1" applyAlignment="1" pivotButton="0" quotePrefix="0" xfId="0">
      <alignment horizontal="right" vertical="center"/>
    </xf>
    <xf numFmtId="0" fontId="43" fillId="3" borderId="1" pivotButton="0" quotePrefix="0" xfId="0"/>
    <xf numFmtId="0" fontId="42" fillId="0" borderId="0" pivotButton="0" quotePrefix="0" xfId="0"/>
    <xf numFmtId="164" fontId="5" fillId="22" borderId="10" pivotButton="0" quotePrefix="0" xfId="0"/>
    <xf numFmtId="0" fontId="40" fillId="0" borderId="0" applyAlignment="1" pivotButton="0" quotePrefix="0" xfId="0">
      <alignment horizontal="center" wrapText="1"/>
    </xf>
    <xf numFmtId="0" fontId="41" fillId="0" borderId="0" applyAlignment="1" pivotButton="0" quotePrefix="0" xfId="0">
      <alignment horizontal="center" wrapText="1"/>
    </xf>
    <xf numFmtId="0" fontId="0" fillId="21" borderId="9" pivotButton="0" quotePrefix="0" xfId="0"/>
    <xf numFmtId="0" fontId="26" fillId="21" borderId="9" applyAlignment="1" pivotButton="0" quotePrefix="0" xfId="2">
      <alignment horizontal="center" wrapText="1"/>
    </xf>
    <xf numFmtId="0" fontId="27" fillId="21" borderId="9" applyAlignment="1" pivotButton="0" quotePrefix="0" xfId="0">
      <alignment horizontal="left" wrapText="1"/>
    </xf>
    <xf numFmtId="0" fontId="27" fillId="21" borderId="9" applyAlignment="1" pivotButton="0" quotePrefix="0" xfId="0">
      <alignment horizontal="left" wrapText="1" indent="1"/>
    </xf>
    <xf numFmtId="0" fontId="27" fillId="21" borderId="9" applyAlignment="1" pivotButton="0" quotePrefix="0" xfId="0">
      <alignment horizontal="left" wrapText="1" indent="2"/>
    </xf>
    <xf numFmtId="0" fontId="27" fillId="21" borderId="9" applyAlignment="1" pivotButton="0" quotePrefix="0" xfId="0">
      <alignment horizontal="left" wrapText="1" indent="3"/>
    </xf>
    <xf numFmtId="0" fontId="27" fillId="21" borderId="9" applyAlignment="1" pivotButton="0" quotePrefix="0" xfId="0">
      <alignment wrapText="1"/>
    </xf>
    <xf numFmtId="0" fontId="27" fillId="21" borderId="9" applyAlignment="1" pivotButton="0" quotePrefix="0" xfId="0">
      <alignment horizontal="left" wrapText="1" indent="4"/>
    </xf>
    <xf numFmtId="4" fontId="27" fillId="21" borderId="9" applyAlignment="1" pivotButton="0" quotePrefix="0" xfId="0">
      <alignment wrapText="1"/>
    </xf>
    <xf numFmtId="0" fontId="28" fillId="21" borderId="9" applyAlignment="1" pivotButton="0" quotePrefix="0" xfId="0">
      <alignment horizontal="left" wrapText="1" indent="3"/>
    </xf>
    <xf numFmtId="165" fontId="28" fillId="21" borderId="9" applyAlignment="1" pivotButton="0" quotePrefix="0" xfId="0">
      <alignment wrapText="1"/>
    </xf>
    <xf numFmtId="0" fontId="28" fillId="21" borderId="9" applyAlignment="1" pivotButton="0" quotePrefix="0" xfId="0">
      <alignment horizontal="left" wrapText="1" indent="2"/>
    </xf>
    <xf numFmtId="0" fontId="28" fillId="21" borderId="9" applyAlignment="1" pivotButton="0" quotePrefix="0" xfId="0">
      <alignment horizontal="left" wrapText="1" indent="1"/>
    </xf>
    <xf numFmtId="4" fontId="28" fillId="21" borderId="9" applyAlignment="1" pivotButton="0" quotePrefix="0" xfId="0">
      <alignment wrapText="1"/>
    </xf>
    <xf numFmtId="0" fontId="28" fillId="21" borderId="9" applyAlignment="1" pivotButton="0" quotePrefix="0" xfId="0">
      <alignment horizontal="left" wrapText="1"/>
    </xf>
    <xf numFmtId="0" fontId="27" fillId="21" borderId="9" applyAlignment="1" pivotButton="0" quotePrefix="0" xfId="0">
      <alignment horizontal="left" wrapText="1" indent="5"/>
    </xf>
    <xf numFmtId="0" fontId="28" fillId="21" borderId="9" applyAlignment="1" pivotButton="0" quotePrefix="0" xfId="0">
      <alignment horizontal="left" wrapText="1" indent="4"/>
    </xf>
    <xf numFmtId="0" fontId="28" fillId="22" borderId="10" applyAlignment="1" pivotButton="0" quotePrefix="0" xfId="0">
      <alignment horizontal="left" wrapText="1" indent="1"/>
    </xf>
    <xf numFmtId="165" fontId="35" fillId="22" borderId="10" applyAlignment="1" pivotButton="0" quotePrefix="0" xfId="0">
      <alignment wrapText="1"/>
    </xf>
    <xf numFmtId="165" fontId="28" fillId="22" borderId="10" applyAlignment="1" pivotButton="0" quotePrefix="0" xfId="0">
      <alignment wrapText="1"/>
    </xf>
    <xf numFmtId="0" fontId="28" fillId="22" borderId="10" applyAlignment="1" pivotButton="0" quotePrefix="0" xfId="0">
      <alignment horizontal="left" wrapText="1"/>
    </xf>
    <xf numFmtId="0" fontId="40" fillId="0" borderId="0" applyAlignment="1" pivotButton="0" quotePrefix="0" xfId="3">
      <alignment horizontal="center" wrapText="1"/>
    </xf>
    <xf numFmtId="0" fontId="41" fillId="0" borderId="0" applyAlignment="1" pivotButton="0" quotePrefix="0" xfId="3">
      <alignment horizontal="center" wrapText="1"/>
    </xf>
    <xf numFmtId="0" fontId="29" fillId="21" borderId="9" pivotButton="0" quotePrefix="0" xfId="3"/>
    <xf numFmtId="0" fontId="27" fillId="21" borderId="9" applyAlignment="1" pivotButton="0" quotePrefix="0" xfId="3">
      <alignment horizontal="left" wrapText="1"/>
    </xf>
    <xf numFmtId="0" fontId="27" fillId="21" borderId="9" applyAlignment="1" pivotButton="0" quotePrefix="0" xfId="3">
      <alignment horizontal="left" wrapText="1" indent="1"/>
    </xf>
    <xf numFmtId="4" fontId="27" fillId="21" borderId="9" applyAlignment="1" pivotButton="0" quotePrefix="0" xfId="3">
      <alignment wrapText="1"/>
    </xf>
    <xf numFmtId="0" fontId="28" fillId="21" borderId="9" applyAlignment="1" pivotButton="0" quotePrefix="0" xfId="3">
      <alignment horizontal="left" wrapText="1"/>
    </xf>
    <xf numFmtId="165" fontId="28" fillId="21" borderId="9" applyAlignment="1" pivotButton="0" quotePrefix="0" xfId="3">
      <alignment wrapText="1"/>
    </xf>
    <xf numFmtId="0" fontId="27" fillId="21" borderId="9" applyAlignment="1" pivotButton="0" quotePrefix="0" xfId="3">
      <alignment wrapText="1"/>
    </xf>
    <xf numFmtId="0" fontId="27" fillId="21" borderId="9" applyAlignment="1" pivotButton="0" quotePrefix="0" xfId="3">
      <alignment horizontal="left" wrapText="1" indent="2"/>
    </xf>
    <xf numFmtId="0" fontId="28" fillId="21" borderId="9" applyAlignment="1" pivotButton="0" quotePrefix="0" xfId="3">
      <alignment horizontal="left" wrapText="1" indent="1"/>
    </xf>
    <xf numFmtId="0" fontId="27" fillId="21" borderId="9" applyAlignment="1" pivotButton="0" quotePrefix="0" xfId="3">
      <alignment horizontal="left" wrapText="1" indent="3"/>
    </xf>
    <xf numFmtId="0" fontId="28" fillId="21" borderId="9" applyAlignment="1" pivotButton="0" quotePrefix="0" xfId="3">
      <alignment horizontal="left" wrapText="1" indent="2"/>
    </xf>
    <xf numFmtId="4" fontId="28" fillId="21" borderId="9" applyAlignment="1" pivotButton="0" quotePrefix="0" xfId="3">
      <alignment wrapText="1"/>
    </xf>
    <xf numFmtId="0" fontId="42" fillId="0" borderId="0" applyAlignment="1" pivotButton="0" quotePrefix="0" xfId="3">
      <alignment horizontal="left" wrapText="1"/>
    </xf>
    <xf numFmtId="165" fontId="35" fillId="22" borderId="10" applyAlignment="1" pivotButton="0" quotePrefix="0" xfId="3">
      <alignment wrapText="1"/>
    </xf>
    <xf numFmtId="0" fontId="42" fillId="0" borderId="2" pivotButton="0" quotePrefix="0" xfId="0"/>
    <xf numFmtId="0" fontId="0" fillId="22" borderId="10" pivotButton="0" quotePrefix="0" xfId="0"/>
    <xf numFmtId="0" fontId="5" fillId="22" borderId="10" pivotButton="0" quotePrefix="0" xfId="0"/>
    <xf numFmtId="164" fontId="14" fillId="22" borderId="10" pivotButton="0" quotePrefix="0" xfId="0"/>
    <xf numFmtId="0" fontId="43" fillId="0" borderId="1" applyAlignment="1" pivotButton="0" quotePrefix="0" xfId="0">
      <alignment vertical="top" indent="1"/>
    </xf>
    <xf numFmtId="164" fontId="8" fillId="22" borderId="10" pivotButton="0" quotePrefix="0" xfId="0"/>
    <xf numFmtId="0" fontId="43" fillId="6" borderId="0" pivotButton="0" quotePrefix="0" xfId="0"/>
    <xf numFmtId="0" fontId="42" fillId="0" borderId="1" applyAlignment="1" pivotButton="0" quotePrefix="0" xfId="0">
      <alignment vertical="top" indent="1"/>
    </xf>
    <xf numFmtId="164" fontId="0" fillId="22" borderId="10" pivotButton="0" quotePrefix="0" xfId="0"/>
    <xf numFmtId="164" fontId="0" fillId="22" borderId="10" applyAlignment="1" pivotButton="0" quotePrefix="0" xfId="0">
      <alignment horizontal="right" vertical="top"/>
    </xf>
    <xf numFmtId="0" fontId="0" fillId="22" borderId="10" applyAlignment="1" pivotButton="0" quotePrefix="0" xfId="0">
      <alignment horizontal="center" vertical="top" wrapText="1"/>
    </xf>
    <xf numFmtId="0" fontId="43" fillId="14" borderId="1" applyAlignment="1" pivotButton="0" quotePrefix="0" xfId="0">
      <alignment vertical="top" indent="1"/>
    </xf>
    <xf numFmtId="0" fontId="43" fillId="0" borderId="1" pivotButton="0" quotePrefix="0" xfId="0"/>
    <xf numFmtId="166" fontId="43" fillId="0" borderId="0" pivotButton="0" quotePrefix="0" xfId="1"/>
    <xf numFmtId="166" fontId="42" fillId="0" borderId="0" pivotButton="0" quotePrefix="0" xfId="1"/>
    <xf numFmtId="166" fontId="0" fillId="22" borderId="10" pivotButton="0" quotePrefix="0" xfId="1"/>
    <xf numFmtId="0" fontId="43" fillId="13" borderId="1" applyAlignment="1" pivotButton="0" quotePrefix="0" xfId="0">
      <alignment vertical="top" indent="1"/>
    </xf>
    <xf numFmtId="0" fontId="42" fillId="2" borderId="0" pivotButton="0" quotePrefix="0" xfId="0"/>
    <xf numFmtId="0" fontId="43" fillId="2" borderId="1" applyAlignment="1" pivotButton="0" quotePrefix="0" xfId="0">
      <alignment horizontal="center" vertical="top" wrapText="1"/>
    </xf>
    <xf numFmtId="0" fontId="43" fillId="0" borderId="0" pivotButton="0" quotePrefix="0" xfId="0"/>
    <xf numFmtId="0" fontId="42" fillId="0" borderId="1" pivotButton="0" quotePrefix="0" xfId="0"/>
    <xf numFmtId="0" fontId="0" fillId="22" borderId="10" applyAlignment="1" pivotButton="0" quotePrefix="0" xfId="0">
      <alignment vertical="top" wrapText="1"/>
    </xf>
    <xf numFmtId="164" fontId="36" fillId="22" borderId="10" pivotButton="0" quotePrefix="0" xfId="0"/>
    <xf numFmtId="0" fontId="42" fillId="0" borderId="0" applyAlignment="1" pivotButton="0" quotePrefix="0" xfId="0">
      <alignment indent="2"/>
    </xf>
    <xf numFmtId="0" fontId="42" fillId="0" borderId="0" applyAlignment="1" pivotButton="0" quotePrefix="0" xfId="0">
      <alignment vertical="top" wrapText="1"/>
    </xf>
  </cellXfs>
  <cellStyles count="6">
    <cellStyle name="Normal" xfId="0" builtinId="0"/>
    <cellStyle name="Comma" xfId="1" builtinId="3"/>
    <cellStyle name="HeaderCellStyle" xfId="2"/>
    <cellStyle name="Normal 2" xfId="3"/>
    <cellStyle name="GroupedCellStyle" xfId="4"/>
    <cellStyle name="TotalCellStyle" xfId="5"/>
  </cellStyles>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C00000"/>
      <rgbColor rgb="FF1B5E20"/>
      <rgbColor rgb="FF000080"/>
      <rgbColor rgb="FF808000"/>
      <rgbColor rgb="FF800080"/>
      <rgbColor rgb="FF008080"/>
      <rgbColor rgb="FFE8D0FF"/>
      <rgbColor rgb="FF808080"/>
      <rgbColor rgb="FF9999FF"/>
      <rgbColor rgb="FF993366"/>
      <rgbColor rgb="FFFFFFCC"/>
      <rgbColor rgb="FFD6E4F0"/>
      <rgbColor rgb="FF660066"/>
      <rgbColor rgb="FFFF8080"/>
      <rgbColor rgb="FF0066CC"/>
      <rgbColor rgb="FFE2D0F0"/>
      <rgbColor rgb="FF000080"/>
      <rgbColor rgb="FFFF00FF"/>
      <rgbColor rgb="FFFFFF00"/>
      <rgbColor rgb="FF00FFFF"/>
      <rgbColor rgb="FF800080"/>
      <rgbColor rgb="FF800000"/>
      <rgbColor rgb="FF008080"/>
      <rgbColor rgb="FF0000FF"/>
      <rgbColor rgb="FF00CCFF"/>
      <rgbColor rgb="FFF2F2F2"/>
      <rgbColor rgb="FFE2EFDA"/>
      <rgbColor rgb="FFFFF2CC"/>
      <rgbColor rgb="FFFCE4D6"/>
      <rgbColor rgb="FFFFC7CE"/>
      <rgbColor rgb="FFCC99FF"/>
      <rgbColor rgb="FFFFCCCC"/>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Unknown Author</author>
  </authors>
  <commentList>
    <comment ref="C10" authorId="0" shapeId="0">
      <text>
        <t>PY had Loans Receivable – Stockholder $698,013.08. Verify repayment/write-off treatment on PY return.</t>
      </text>
    </comment>
    <comment ref="C61" authorId="0" shapeId="0">
      <text>
        <t>PY Retained Earnings — verify from PY 1120-S Schedule L Line 24.</t>
      </text>
    </comment>
    <comment ref="C62" authorId="0" shapeId="0">
      <text>
        <t>PY cumulative Sub S Distributions — verify from PY return Schedule L / M-2.</t>
      </text>
    </comment>
    <comment ref="C64" authorId="0" shapeId="0">
      <text>
        <t>PY Net Income $1,443,382.07 — verify from PY return.</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FF0000"/>
    <outlinePr summaryBelow="1" summaryRight="1"/>
    <pageSetUpPr/>
  </sheetPr>
  <dimension ref="A1:A63"/>
  <sheetViews>
    <sheetView workbookViewId="0">
      <selection activeCell="A1" sqref="A1"/>
    </sheetView>
  </sheetViews>
  <sheetFormatPr baseColWidth="8" defaultRowHeight="15"/>
  <cols>
    <col width="90" customWidth="1" style="143" min="1" max="1"/>
  </cols>
  <sheetData>
    <row r="1">
      <c r="A1" s="181" t="inlineStr">
        <is>
          <t>1120-S WORKING TRIAL BALANCE TEMPLATE</t>
        </is>
      </c>
    </row>
    <row r="2">
      <c r="A2" s="182" t="inlineStr">
        <is>
          <t>Version 1.0</t>
        </is>
      </c>
    </row>
    <row r="4">
      <c r="A4" s="183" t="inlineStr">
        <is>
          <t>HOW TO USE THIS TEMPLATE</t>
        </is>
      </c>
    </row>
    <row r="6">
      <c r="A6" s="184" t="inlineStr">
        <is>
          <t>STEP 1: PASTE PBC DATA</t>
        </is>
      </c>
    </row>
    <row r="7">
      <c r="A7" t="inlineStr">
        <is>
          <t xml:space="preserve">   • Export P&amp;L from QuickBooks → paste into "PBC - P&amp;L2" tab</t>
        </is>
      </c>
    </row>
    <row r="8">
      <c r="A8" t="inlineStr">
        <is>
          <t xml:space="preserve">   • Export Balance Sheet from QuickBooks → paste into "PBC- Balance Sheet" tab</t>
        </is>
      </c>
    </row>
    <row r="9">
      <c r="A9" t="inlineStr">
        <is>
          <t xml:space="preserve">   • Make sure Net Income lands in PBC-P&amp;L2 cell B63</t>
        </is>
      </c>
    </row>
    <row r="10">
      <c r="A10" t="inlineStr">
        <is>
          <t xml:space="preserve">   • Make sure Total Equity lands in PBC-BS cell B88, Total L&amp;E in B89</t>
        </is>
      </c>
    </row>
    <row r="12">
      <c r="A12" s="184" t="inlineStr">
        <is>
          <t>STEP 2: BUILD WORKING P&amp;L &amp; BALANCE SHEET</t>
        </is>
      </c>
    </row>
    <row r="13">
      <c r="A13" t="inlineStr">
        <is>
          <t xml:space="preserve">   • Map QuickBooks line items to Working P&amp;L (P&amp;L tab, column B) — yellow cells</t>
        </is>
      </c>
    </row>
    <row r="14">
      <c r="A14" t="inlineStr">
        <is>
          <t xml:space="preserve">   • Map QuickBooks line items to Working Balance Sheet (Balance Sheet tab) — yellow cells</t>
        </is>
      </c>
    </row>
    <row r="15">
      <c r="A15" t="inlineStr">
        <is>
          <t xml:space="preserve">   • Subtotals and totals auto-calculate via formulas</t>
        </is>
      </c>
    </row>
    <row r="17">
      <c r="A17" s="184" t="inlineStr">
        <is>
          <t>STEP 3: FILL WORKING TRIAL BALANCE</t>
        </is>
      </c>
    </row>
    <row r="18">
      <c r="A18" t="inlineStr">
        <is>
          <t xml:space="preserve">   • Column B (PBC Book): Auto-populates from P&amp;L and Balance Sheet tabs</t>
        </is>
      </c>
    </row>
    <row r="19">
      <c r="A19" t="inlineStr">
        <is>
          <t xml:space="preserve">   • Column C (Reclass Adj): Enter reclassification entries — yellow cells</t>
        </is>
      </c>
    </row>
    <row r="20">
      <c r="A20" t="inlineStr">
        <is>
          <t xml:space="preserve">   •    Common: Officer comp reclass from payroll, intercompany reclass</t>
        </is>
      </c>
    </row>
    <row r="21">
      <c r="A21" t="inlineStr">
        <is>
          <t xml:space="preserve">   • Column D (Adjusted Book): Auto-calculates (B+C)</t>
        </is>
      </c>
    </row>
    <row r="22">
      <c r="A22" t="inlineStr">
        <is>
          <t xml:space="preserve">   • Column E (Sch K Adj): Auto-calculates from Strategy Inputs</t>
        </is>
      </c>
    </row>
    <row r="23">
      <c r="A23" t="inlineStr">
        <is>
          <t xml:space="preserve">   • Column F (Tax Return): Auto-calculates (D+E)</t>
        </is>
      </c>
    </row>
    <row r="24">
      <c r="A24" t="inlineStr">
        <is>
          <t xml:space="preserve">   • Column H (M-1 Adj): Mostly auto — some manual for special items</t>
        </is>
      </c>
    </row>
    <row r="26">
      <c r="A26" s="184" t="inlineStr">
        <is>
          <t>STEP 4: ENTER CLIENT-SPECIFIC DATA</t>
        </is>
      </c>
    </row>
    <row r="27">
      <c r="A27" t="inlineStr">
        <is>
          <t xml:space="preserve">   • Officer compensation: WTB rows 83-84 (name, title, %, amount)</t>
        </is>
      </c>
    </row>
    <row r="28">
      <c r="A28" t="inlineStr">
        <is>
          <t xml:space="preserve">   • Distributions: WTB row 144-145 (from BS or K-1s)</t>
        </is>
      </c>
    </row>
    <row r="29">
      <c r="A29" t="inlineStr">
        <is>
          <t xml:space="preserve">   • 1099 income: WTB rows 133-137 (interest, dividends, cap gains)</t>
        </is>
      </c>
    </row>
    <row r="30">
      <c r="A30" t="inlineStr">
        <is>
          <t xml:space="preserve">   • Ownership %: Schedule K cell B7</t>
        </is>
      </c>
    </row>
    <row r="32">
      <c r="A32" s="184" t="inlineStr">
        <is>
          <t>STEP 5: PRIOR YEAR &amp; OPENING BALANCES</t>
        </is>
      </c>
    </row>
    <row r="33">
      <c r="A33" t="inlineStr">
        <is>
          <t xml:space="preserve">   • Schedule L columns C/D: BOY amounts from prior year return</t>
        </is>
      </c>
    </row>
    <row r="34">
      <c r="A34" t="inlineStr">
        <is>
          <t xml:space="preserve">   • Schedule M-2 row 6: Beginning AAA, OAA, PTI, Retained Earnings</t>
        </is>
      </c>
    </row>
    <row r="35">
      <c r="A35" t="inlineStr">
        <is>
          <t xml:space="preserve">   • Form 7203: Beginning stock basis, debt basis</t>
        </is>
      </c>
    </row>
    <row r="37">
      <c r="A37" s="184" t="inlineStr">
        <is>
          <t>STEP 6: VERIFY TIE-OUTS</t>
        </is>
      </c>
    </row>
    <row r="38">
      <c r="A38" t="inlineStr">
        <is>
          <t xml:space="preserve">   • WTB row 59: Assets − L&amp;E = 0 (both D and F columns)</t>
        </is>
      </c>
    </row>
    <row r="39">
      <c r="A39" t="inlineStr">
        <is>
          <t xml:space="preserve">   • Schedule K rows 73-77: All should show 0 or ✓</t>
        </is>
      </c>
    </row>
    <row r="40">
      <c r="A40" t="inlineStr">
        <is>
          <t xml:space="preserve">   • Schedule M-1 rows 43-45: All should show 0 or ✓</t>
        </is>
      </c>
    </row>
    <row r="41">
      <c r="A41" t="inlineStr">
        <is>
          <t xml:space="preserve">   • Schedule M-2 row 72: Variance = 0</t>
        </is>
      </c>
    </row>
    <row r="42">
      <c r="A42" t="inlineStr">
        <is>
          <t xml:space="preserve">   • Schedule L rows 44-49: All should show ✓ TIES</t>
        </is>
      </c>
    </row>
    <row r="44">
      <c r="A44" s="184" t="inlineStr">
        <is>
          <t>COLOR CODING</t>
        </is>
      </c>
    </row>
    <row r="45">
      <c r="A45" t="inlineStr">
        <is>
          <t xml:space="preserve">   • YELLOW BACKGROUND = Cell needs manual entry</t>
        </is>
      </c>
    </row>
    <row r="46">
      <c r="A46" t="inlineStr">
        <is>
          <t xml:space="preserve">   • BLUE TEXT = Hardcoded input value</t>
        </is>
      </c>
    </row>
    <row r="47">
      <c r="A47" t="inlineStr">
        <is>
          <t xml:space="preserve">   • BLACK TEXT = Formula (do not overwrite)</t>
        </is>
      </c>
    </row>
    <row r="48">
      <c r="A48" t="inlineStr">
        <is>
          <t xml:space="preserve">   • GREEN TEXT = Cross-sheet reference</t>
        </is>
      </c>
    </row>
    <row r="50">
      <c r="A50" s="184" t="inlineStr">
        <is>
          <t>TAB ORDER</t>
        </is>
      </c>
    </row>
    <row r="51">
      <c r="A51" t="inlineStr">
        <is>
          <t xml:space="preserve">   1. PBC - P&amp;L2          Paste QuickBooks P&amp;L here</t>
        </is>
      </c>
    </row>
    <row r="52">
      <c r="A52" t="inlineStr">
        <is>
          <t xml:space="preserve">   2. PBC- Balance Sheet   Paste QuickBooks BS here</t>
        </is>
      </c>
    </row>
    <row r="53">
      <c r="A53" t="inlineStr">
        <is>
          <t xml:space="preserve">   3. P&amp;L                  Working P&amp;L (mapped from PBC)</t>
        </is>
      </c>
    </row>
    <row r="54">
      <c r="A54" t="inlineStr">
        <is>
          <t xml:space="preserve">   4. Balance Sheet        Working BS (mapped from PBC)</t>
        </is>
      </c>
    </row>
    <row r="55">
      <c r="A55" t="inlineStr">
        <is>
          <t xml:space="preserve">   5. Working Trial Balance CORE — all schedules flow from here</t>
        </is>
      </c>
    </row>
    <row r="56">
      <c r="A56" t="inlineStr">
        <is>
          <t xml:space="preserve">   6. Adjusting Entries    Documents reclass/adjustments</t>
        </is>
      </c>
    </row>
    <row r="57">
      <c r="A57" t="inlineStr">
        <is>
          <t xml:space="preserve">   7. Strategy Inputs      Tax planning inputs (optional)</t>
        </is>
      </c>
    </row>
    <row r="58">
      <c r="A58" t="inlineStr">
        <is>
          <t xml:space="preserve">   8. Schedule K           Shareholders pro rata items</t>
        </is>
      </c>
    </row>
    <row r="59">
      <c r="A59" t="inlineStr">
        <is>
          <t xml:space="preserve">   9. Schedule M-1         Book-to-tax reconciliation</t>
        </is>
      </c>
    </row>
    <row r="60">
      <c r="A60" t="inlineStr">
        <is>
          <t xml:space="preserve">  10. Schedule M-2         AAA/OAA/Equity analysis</t>
        </is>
      </c>
    </row>
    <row r="61">
      <c r="A61" t="inlineStr">
        <is>
          <t xml:space="preserve">  11. Schedule L           Balance sheets per books</t>
        </is>
      </c>
    </row>
    <row r="62">
      <c r="A62" t="inlineStr">
        <is>
          <t xml:space="preserve">  12. Form 7203            Shareholder basis (per SH)</t>
        </is>
      </c>
    </row>
    <row r="63">
      <c r="A63" t="inlineStr">
        <is>
          <t xml:space="preserve">  13. Schedule M-3         Net income reconciliation (if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topLeftCell="A33" zoomScaleNormal="100" workbookViewId="0">
      <selection activeCell="B65" sqref="B65"/>
    </sheetView>
  </sheetViews>
  <sheetFormatPr baseColWidth="8" defaultColWidth="8.7109375" defaultRowHeight="15"/>
  <cols>
    <col width="58" customWidth="1" style="143" min="1" max="1"/>
    <col width="18" customWidth="1" style="143" min="2" max="2"/>
  </cols>
  <sheetData>
    <row r="1" ht="17.25" customHeight="1" s="143">
      <c r="A1" s="150" t="inlineStr">
        <is>
          <t>[ENTITY NAME] — Working Profit &amp; Loss</t>
        </is>
      </c>
    </row>
    <row r="2" ht="15" customHeight="1" s="143">
      <c r="A2" s="147" t="inlineStr">
        <is>
          <t>Profit &amp; Loss — December 1, 2024 to November 30, 2025</t>
        </is>
      </c>
    </row>
    <row r="3" ht="15" customHeight="1" s="143">
      <c r="A3" s="149" t="inlineStr">
        <is>
          <t>Provided by Client (PBC) — QuickBooks Export</t>
        </is>
      </c>
    </row>
    <row r="5" ht="15" customHeight="1" s="143">
      <c r="A5" s="7" t="inlineStr">
        <is>
          <t>Account</t>
        </is>
      </c>
      <c r="B5" s="7" t="inlineStr">
        <is>
          <t>Amount</t>
        </is>
      </c>
    </row>
    <row r="6" ht="15" customHeight="1" s="143">
      <c r="A6" s="200" t="inlineStr">
        <is>
          <t>REVENUE</t>
        </is>
      </c>
      <c r="B6" s="8" t="n"/>
    </row>
    <row r="7" ht="15" customHeight="1" s="143">
      <c r="A7" s="9" t="inlineStr">
        <is>
          <t>Software Licensing Revenue</t>
        </is>
      </c>
      <c r="B7" s="185" t="n"/>
    </row>
    <row r="8" ht="15" customHeight="1" s="143">
      <c r="A8" s="9" t="inlineStr">
        <is>
          <t>—</t>
        </is>
      </c>
      <c r="B8" s="185" t="n"/>
    </row>
    <row r="9" ht="15" customHeight="1" s="143">
      <c r="A9" s="9" t="inlineStr">
        <is>
          <t>Equipment Rental Income</t>
        </is>
      </c>
      <c r="B9" s="185" t="n"/>
    </row>
    <row r="10" ht="15" customHeight="1" s="143">
      <c r="A10" s="9" t="inlineStr">
        <is>
          <t>Returns &amp; Allowances</t>
        </is>
      </c>
      <c r="B10" s="185" t="n"/>
    </row>
    <row r="11" ht="15" customHeight="1" s="143">
      <c r="A11" s="201" t="inlineStr">
        <is>
          <t>Total Revenue</t>
        </is>
      </c>
      <c r="B11" s="202">
        <f>SUM(B7:B10)</f>
        <v/>
      </c>
    </row>
    <row r="12" ht="15" customHeight="1" s="143">
      <c r="A12" s="200" t="inlineStr">
        <is>
          <t>COST OF GOODS SOLD</t>
        </is>
      </c>
      <c r="B12" s="8" t="n"/>
    </row>
    <row r="13" ht="15" customHeight="1" s="143">
      <c r="A13" s="9" t="inlineStr">
        <is>
          <t>5000 · COGS (N/A — service company)</t>
        </is>
      </c>
      <c r="B13" s="185" t="n"/>
    </row>
    <row r="14" ht="15" customHeight="1" s="143">
      <c r="A14" s="9" t="inlineStr">
        <is>
          <t>—</t>
        </is>
      </c>
      <c r="B14" s="185" t="n"/>
    </row>
    <row r="15" ht="15" customHeight="1" s="143">
      <c r="A15" s="9" t="inlineStr">
        <is>
          <t>—</t>
        </is>
      </c>
      <c r="B15" s="185" t="n"/>
    </row>
    <row r="16" ht="15" customHeight="1" s="143">
      <c r="A16" s="201" t="inlineStr">
        <is>
          <t>Total COGS</t>
        </is>
      </c>
      <c r="B16" s="202">
        <f>SUM(B13:B15)</f>
        <v/>
      </c>
    </row>
    <row r="17" ht="15" customHeight="1" s="143">
      <c r="A17" s="173" t="inlineStr">
        <is>
          <t>GROSS PROFIT</t>
        </is>
      </c>
      <c r="B17" s="12">
        <f>B11-B16</f>
        <v/>
      </c>
    </row>
    <row r="18" ht="15" customHeight="1" s="143">
      <c r="A18" s="200" t="inlineStr">
        <is>
          <t>OPERATING EXPENSES</t>
        </is>
      </c>
      <c r="B18" s="8" t="n"/>
    </row>
    <row r="19" ht="15" customHeight="1" s="143">
      <c r="A19" s="9" t="inlineStr">
        <is>
          <t>02 Payroll – Wages &amp; Salaries (all staff)</t>
        </is>
      </c>
      <c r="B19" s="185" t="n"/>
    </row>
    <row r="20" ht="15" customHeight="1" s="143">
      <c r="A20" s="9" t="inlineStr">
        <is>
          <t>02 Payroll – Bonus</t>
        </is>
      </c>
      <c r="B20" s="185" t="n"/>
    </row>
    <row r="21" ht="15" customHeight="1" s="143">
      <c r="A21" s="9" t="inlineStr">
        <is>
          <t>02 Payroll – Health Insurance</t>
        </is>
      </c>
      <c r="B21" s="185" t="n"/>
    </row>
    <row r="22" ht="15" customHeight="1" s="143">
      <c r="A22" s="9" t="inlineStr">
        <is>
          <t>02 Payroll – Payroll Taxes (FICA/FUTA)</t>
        </is>
      </c>
      <c r="B22" s="185" t="n"/>
    </row>
    <row r="23" ht="15" customHeight="1" s="143">
      <c r="A23" s="9" t="inlineStr">
        <is>
          <t>02 Payroll – 401K Retirement Program</t>
        </is>
      </c>
      <c r="B23" s="185" t="n"/>
    </row>
    <row r="24" ht="15" customHeight="1" s="143">
      <c r="A24" s="9" t="inlineStr">
        <is>
          <t>02 Payroll – Payroll Processing Fees</t>
        </is>
      </c>
      <c r="B24" s="185" t="n"/>
    </row>
    <row r="25" ht="15" customHeight="1" s="143">
      <c r="A25" s="9" t="inlineStr">
        <is>
          <t>03 IT – Computer Software &amp; Supplies</t>
        </is>
      </c>
      <c r="B25" s="185" t="n"/>
    </row>
    <row r="26" ht="15" customHeight="1" s="143">
      <c r="A26" s="9" t="inlineStr">
        <is>
          <t>04 Leases – 540 NE 4th Street LLC</t>
        </is>
      </c>
      <c r="B26" s="185" t="n"/>
    </row>
    <row r="27" ht="15" customHeight="1" s="143">
      <c r="A27" s="9" t="inlineStr">
        <is>
          <t>—</t>
        </is>
      </c>
      <c r="B27" s="185" t="n"/>
    </row>
    <row r="28" ht="15" customHeight="1" s="143">
      <c r="A28" s="9" t="inlineStr">
        <is>
          <t>—</t>
        </is>
      </c>
      <c r="B28" s="185" t="n"/>
    </row>
    <row r="29" ht="15" customHeight="1" s="143">
      <c r="A29" s="9" t="inlineStr">
        <is>
          <t>—</t>
        </is>
      </c>
      <c r="B29" s="185" t="n"/>
    </row>
    <row r="30" ht="15" customHeight="1" s="143">
      <c r="A30" s="9" t="inlineStr">
        <is>
          <t>—</t>
        </is>
      </c>
      <c r="B30" s="185" t="n"/>
    </row>
    <row r="31" ht="15" customHeight="1" s="143">
      <c r="A31" s="9" t="inlineStr">
        <is>
          <t>03 IT – Dues &amp; Subscriptions</t>
        </is>
      </c>
      <c r="B31" s="185" t="n"/>
    </row>
    <row r="32" ht="15" customHeight="1" s="143">
      <c r="A32" s="9" t="inlineStr">
        <is>
          <t>Meals – Meals &amp; Entertainment</t>
        </is>
      </c>
      <c r="B32" s="185" t="n"/>
    </row>
    <row r="33" ht="15" customHeight="1" s="143">
      <c r="A33" s="9" t="inlineStr">
        <is>
          <t>Meals – Office Meals</t>
        </is>
      </c>
      <c r="B33" s="185" t="n"/>
    </row>
    <row r="34" ht="15" customHeight="1" s="143">
      <c r="A34" s="9" t="inlineStr">
        <is>
          <t>Travel</t>
        </is>
      </c>
      <c r="B34" s="185" t="n"/>
    </row>
    <row r="35" ht="15" customHeight="1" s="143">
      <c r="A35" s="9" t="inlineStr">
        <is>
          <t>03 Professional – Consulting Fees</t>
        </is>
      </c>
      <c r="B35" s="185" t="n"/>
    </row>
    <row r="36" ht="15" customHeight="1" s="143">
      <c r="A36" s="9" t="inlineStr">
        <is>
          <t>03 Professional – Recruitment Fees</t>
        </is>
      </c>
      <c r="B36" s="185" t="n"/>
    </row>
    <row r="37" ht="15" customHeight="1" s="143">
      <c r="A37" s="9" t="inlineStr">
        <is>
          <t>Auto Expense</t>
        </is>
      </c>
      <c r="B37" s="185" t="n"/>
    </row>
    <row r="38" ht="15" customHeight="1" s="143">
      <c r="A38" s="9" t="inlineStr">
        <is>
          <t>—</t>
        </is>
      </c>
      <c r="B38" s="185" t="n"/>
    </row>
    <row r="39" ht="15" customHeight="1" s="143">
      <c r="A39" s="9" t="inlineStr">
        <is>
          <t>—</t>
        </is>
      </c>
      <c r="B39" s="185" t="n"/>
    </row>
    <row r="40" ht="15" customHeight="1" s="143">
      <c r="A40" s="9" t="inlineStr">
        <is>
          <t>Depreciation Expense (Book — per QB Other Expense)</t>
        </is>
      </c>
      <c r="B40" s="185" t="n"/>
    </row>
    <row r="41" ht="15" customHeight="1" s="143">
      <c r="A41" s="9" t="inlineStr">
        <is>
          <t>—</t>
        </is>
      </c>
      <c r="B41" s="185" t="n"/>
    </row>
    <row r="42" ht="15" customHeight="1" s="143">
      <c r="A42" s="9" t="inlineStr">
        <is>
          <t>05 Insurance – Liability Insurance</t>
        </is>
      </c>
      <c r="B42" s="185" t="n"/>
    </row>
    <row r="43" ht="15" customHeight="1" s="143">
      <c r="A43" s="9" t="inlineStr">
        <is>
          <t>—</t>
        </is>
      </c>
      <c r="B43" s="185" t="n"/>
    </row>
    <row r="44" ht="15" customHeight="1" s="143">
      <c r="A44" s="9" t="inlineStr">
        <is>
          <t>Investment Management Fees (Portfolio / Schwab)</t>
        </is>
      </c>
      <c r="B44" s="185" t="n"/>
    </row>
    <row r="45" ht="15" customHeight="1" s="143">
      <c r="A45" s="9" t="inlineStr">
        <is>
          <t>09 Donations &amp; Contributions</t>
        </is>
      </c>
      <c r="B45" s="185" t="n"/>
    </row>
    <row r="46" ht="15" customHeight="1" s="143">
      <c r="A46" s="9" t="inlineStr">
        <is>
          <t>09 Taxes &amp; Licenses</t>
        </is>
      </c>
      <c r="B46" s="185" t="n"/>
    </row>
    <row r="47" ht="15" customHeight="1" s="143">
      <c r="A47" s="9" t="inlineStr">
        <is>
          <t>09 Bank Service Charges</t>
        </is>
      </c>
      <c r="B47" s="185" t="n"/>
    </row>
    <row r="48" ht="15" customHeight="1" s="143">
      <c r="A48" s="9" t="inlineStr">
        <is>
          <t>09 Miscellaneous Expense</t>
        </is>
      </c>
      <c r="B48" s="185" t="n"/>
    </row>
    <row r="49" ht="15" customHeight="1" s="143">
      <c r="A49" s="9" t="inlineStr">
        <is>
          <t>Travel Meals</t>
        </is>
      </c>
      <c r="B49" s="185" t="n"/>
    </row>
    <row r="50" ht="15" customHeight="1" s="143">
      <c r="A50" s="201" t="inlineStr">
        <is>
          <t>Total Operating Expenses</t>
        </is>
      </c>
      <c r="B50" s="202">
        <f>SUM(B19:B49)</f>
        <v/>
      </c>
    </row>
    <row r="51" ht="15" customHeight="1" s="143">
      <c r="A51" s="173" t="inlineStr">
        <is>
          <t>OPERATING INCOME</t>
        </is>
      </c>
      <c r="B51" s="12">
        <f>B17-B50</f>
        <v/>
      </c>
    </row>
    <row r="52" ht="15" customHeight="1" s="143">
      <c r="A52" s="200" t="inlineStr">
        <is>
          <t>OTHER INCOME / (EXPENSE)</t>
        </is>
      </c>
      <c r="B52" s="8" t="n"/>
    </row>
    <row r="53" ht="15" customHeight="1" s="143">
      <c r="A53" s="9" t="inlineStr">
        <is>
          <t>Interest Income (Schwab &amp; Bank Accounts)</t>
        </is>
      </c>
      <c r="B53" s="185" t="n"/>
    </row>
    <row r="54" ht="15" customHeight="1" s="143">
      <c r="A54" s="9" t="inlineStr">
        <is>
          <t>ST Investment Income (Dividends – Schwab)</t>
        </is>
      </c>
      <c r="B54" s="185" t="n"/>
    </row>
    <row r="55" ht="15" customHeight="1" s="143">
      <c r="A55" s="13" t="inlineStr">
        <is>
          <t xml:space="preserve">     ↳ Qualified Dividends: TBD (memo — need 1099-DIV)</t>
        </is>
      </c>
    </row>
    <row r="56" ht="15" customHeight="1" s="143">
      <c r="A56" s="9" t="inlineStr">
        <is>
          <t>Capital Gain / (Loss) on Investments</t>
        </is>
      </c>
      <c r="B56" s="185" t="n"/>
    </row>
    <row r="57" ht="15" customHeight="1" s="143">
      <c r="A57" s="9" t="inlineStr">
        <is>
          <t>—</t>
        </is>
      </c>
      <c r="B57" s="185" t="n"/>
    </row>
    <row r="58" ht="15" customHeight="1" s="143">
      <c r="A58" s="9" t="inlineStr">
        <is>
          <t>—</t>
        </is>
      </c>
      <c r="B58" s="185" t="n"/>
    </row>
    <row r="59" ht="15" customHeight="1" s="143">
      <c r="A59" s="9" t="inlineStr">
        <is>
          <t>—</t>
        </is>
      </c>
      <c r="B59" s="185" t="n"/>
    </row>
    <row r="60" ht="15" customHeight="1" s="143">
      <c r="A60" s="9" t="inlineStr">
        <is>
          <t>Tax-Exempt Interest</t>
        </is>
      </c>
      <c r="B60" s="185" t="n"/>
    </row>
    <row r="61" ht="15" customHeight="1" s="143">
      <c r="A61" s="9" t="inlineStr">
        <is>
          <t>Unrealized Capital Gain / Loss (Book Only)</t>
        </is>
      </c>
      <c r="B61" s="185" t="n"/>
    </row>
    <row r="62" ht="15" customHeight="1" s="143">
      <c r="A62" s="201" t="inlineStr">
        <is>
          <t>Total Other Income / (Expense)</t>
        </is>
      </c>
      <c r="B62" s="202">
        <f>SUM(B53:B61)</f>
        <v/>
      </c>
    </row>
    <row r="63" ht="15" customHeight="1" s="143">
      <c r="A63" s="201" t="inlineStr">
        <is>
          <t>NET INCOME PER BOOKS</t>
        </is>
      </c>
      <c r="B63" s="202">
        <f>B51+B62</f>
        <v/>
      </c>
    </row>
    <row r="64">
      <c r="B64" s="10">
        <f>B63-'PBC - P&amp;L2'!B63</f>
        <v/>
      </c>
    </row>
  </sheetData>
  <mergeCells count="3">
    <mergeCell ref="A3:B3"/>
    <mergeCell ref="A2:B2"/>
    <mergeCell ref="A1:B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68"/>
  <sheetViews>
    <sheetView topLeftCell="A22" zoomScaleNormal="100" workbookViewId="0">
      <selection activeCell="E62" sqref="E62"/>
    </sheetView>
  </sheetViews>
  <sheetFormatPr baseColWidth="8" defaultColWidth="8.7109375" defaultRowHeight="15"/>
  <cols>
    <col width="52" customWidth="1" style="143" min="1" max="1"/>
    <col width="18" customWidth="1" style="143" min="2" max="3"/>
    <col width="9" bestFit="1" customWidth="1" style="143" min="5" max="5"/>
  </cols>
  <sheetData>
    <row r="1" ht="17.25" customHeight="1" s="143">
      <c r="A1" s="150" t="inlineStr">
        <is>
          <t>[ENTITY NAME] — Working Balance Sheet</t>
        </is>
      </c>
    </row>
    <row r="2" ht="15" customHeight="1" s="143">
      <c r="A2" s="147" t="inlineStr">
        <is>
          <t>Tax Year Ended [MM/DD/YYYY]</t>
        </is>
      </c>
    </row>
    <row r="3" ht="15" customHeight="1" s="143">
      <c r="A3" s="149" t="inlineStr">
        <is>
          <t>Provided by Client (PBC) — QuickBooks Export</t>
        </is>
      </c>
    </row>
    <row r="5" ht="15" customHeight="1" s="143">
      <c r="A5" s="7" t="inlineStr">
        <is>
          <t>Account</t>
        </is>
      </c>
      <c r="B5" s="7" t="inlineStr">
        <is>
          <t>November 30, 2025</t>
        </is>
      </c>
      <c r="C5" s="14" t="inlineStr">
        <is>
          <t>November 30, 2024 (PY)
⚠ MANUALLY ENTER / VERIFY</t>
        </is>
      </c>
    </row>
    <row r="6" ht="15" customHeight="1" s="143">
      <c r="A6" s="8" t="inlineStr">
        <is>
          <t>ASSETS</t>
        </is>
      </c>
      <c r="B6" s="8" t="n"/>
      <c r="C6" s="8" t="n"/>
    </row>
    <row r="7" ht="15" customHeight="1" s="143">
      <c r="A7" s="8" t="inlineStr">
        <is>
          <t>Current Assets</t>
        </is>
      </c>
      <c r="B7" s="8" t="n"/>
      <c r="C7" s="8" t="n"/>
    </row>
    <row r="8" ht="15" customHeight="1" s="143">
      <c r="A8" s="9" t="inlineStr">
        <is>
          <t>Cash – Chase 7884 / Chase Operating – 1180 / Wells Fargo – 6016</t>
        </is>
      </c>
      <c r="B8" s="185" t="n"/>
      <c r="C8" s="185" t="n"/>
    </row>
    <row r="9" ht="15" customHeight="1" s="143">
      <c r="A9" s="9" t="inlineStr">
        <is>
          <t>Intercompany Receivable – IPS (net)</t>
        </is>
      </c>
      <c r="B9" s="185" t="n"/>
      <c r="C9" s="185" t="n"/>
    </row>
    <row r="10" ht="15" customHeight="1" s="143">
      <c r="A10" s="9" t="inlineStr">
        <is>
          <t>Loans Receivable – Stockholder</t>
        </is>
      </c>
      <c r="B10" s="185" t="n"/>
      <c r="C10" s="185" t="n"/>
    </row>
    <row r="11" ht="15" customHeight="1" s="143">
      <c r="A11" s="9" t="inlineStr">
        <is>
          <t>Prepaid Expenses</t>
        </is>
      </c>
      <c r="B11" s="185" t="n"/>
      <c r="C11" s="185" t="n"/>
    </row>
    <row r="12" ht="15" customHeight="1" s="143">
      <c r="A12" s="9" t="inlineStr">
        <is>
          <t>—</t>
        </is>
      </c>
      <c r="B12" s="185" t="n"/>
      <c r="C12" s="185" t="n"/>
    </row>
    <row r="13" ht="15" customHeight="1" s="143">
      <c r="A13" s="9" t="inlineStr">
        <is>
          <t>—</t>
        </is>
      </c>
      <c r="B13" s="185" t="n"/>
      <c r="C13" s="185" t="n"/>
    </row>
    <row r="14" ht="15" customHeight="1" s="143">
      <c r="A14" s="9" t="inlineStr">
        <is>
          <t>—</t>
        </is>
      </c>
      <c r="B14" s="185" t="n"/>
      <c r="C14" s="185" t="n"/>
    </row>
    <row r="15" ht="15" customHeight="1" s="143">
      <c r="A15" s="173" t="inlineStr">
        <is>
          <t>Total Current Assets</t>
        </is>
      </c>
      <c r="B15" s="12">
        <f>SUM(B8:B14)</f>
        <v/>
      </c>
      <c r="C15" s="12">
        <f>SUM(C8:C14)</f>
        <v/>
      </c>
    </row>
    <row r="17" ht="15" customHeight="1" s="143">
      <c r="A17" s="8" t="inlineStr">
        <is>
          <t>Investments</t>
        </is>
      </c>
      <c r="B17" s="8" t="n"/>
      <c r="C17" s="8" t="n"/>
    </row>
    <row r="18" ht="15" customHeight="1" s="143">
      <c r="A18" s="9" t="inlineStr">
        <is>
          <t>S-T Investments – Schwab One 2480-2532</t>
        </is>
      </c>
      <c r="B18" s="185" t="n"/>
      <c r="C18" s="185" t="n"/>
    </row>
    <row r="19" ht="15" customHeight="1" s="143">
      <c r="A19" s="9" t="inlineStr">
        <is>
          <t>—</t>
        </is>
      </c>
      <c r="B19" s="185" t="n"/>
      <c r="C19" s="185" t="n"/>
    </row>
    <row r="20" ht="15" customHeight="1" s="143">
      <c r="A20" s="173" t="inlineStr">
        <is>
          <t>Total Investments</t>
        </is>
      </c>
      <c r="B20" s="12">
        <f>SUM(B18:B19)</f>
        <v/>
      </c>
      <c r="C20" s="12">
        <f>SUM(C18:C19)</f>
        <v/>
      </c>
    </row>
    <row r="22" ht="15" customHeight="1" s="143">
      <c r="A22" s="8" t="inlineStr">
        <is>
          <t>Fixed Assets</t>
        </is>
      </c>
      <c r="B22" s="8" t="n"/>
      <c r="C22" s="8" t="n"/>
    </row>
    <row r="23" ht="15" customHeight="1" s="143">
      <c r="A23" s="9" t="inlineStr">
        <is>
          <t>Office &amp; Computer Equipment (gross)</t>
        </is>
      </c>
      <c r="B23" s="185" t="n"/>
      <c r="C23" s="185" t="n"/>
    </row>
    <row r="24" ht="15" customHeight="1" s="143">
      <c r="A24" s="9" t="inlineStr">
        <is>
          <t>Accumulated Depreciation – Office &amp; Computer Equipment</t>
        </is>
      </c>
      <c r="B24" s="185" t="n"/>
      <c r="C24" s="185" t="n"/>
    </row>
    <row r="25" ht="15" customHeight="1" s="143">
      <c r="A25" s="9" t="inlineStr">
        <is>
          <t>—</t>
        </is>
      </c>
      <c r="B25" s="185" t="n"/>
      <c r="C25" s="185" t="n"/>
    </row>
    <row r="26" ht="15" customHeight="1" s="143">
      <c r="A26" s="9" t="inlineStr">
        <is>
          <t>—</t>
        </is>
      </c>
      <c r="B26" s="185" t="n"/>
      <c r="C26" s="185" t="n"/>
    </row>
    <row r="27" ht="15" customHeight="1" s="143">
      <c r="A27" s="9" t="inlineStr">
        <is>
          <t>—</t>
        </is>
      </c>
      <c r="B27" s="185" t="n"/>
      <c r="C27" s="185" t="n"/>
    </row>
    <row r="28" ht="15" customHeight="1" s="143">
      <c r="A28" s="9" t="inlineStr">
        <is>
          <t>—</t>
        </is>
      </c>
      <c r="B28" s="185" t="n"/>
      <c r="C28" s="185" t="n"/>
    </row>
    <row r="29" ht="15" customHeight="1" s="143">
      <c r="A29" s="9" t="inlineStr">
        <is>
          <t>—</t>
        </is>
      </c>
      <c r="B29" s="185" t="n"/>
      <c r="C29" s="185" t="n"/>
    </row>
    <row r="30" ht="15" customHeight="1" s="143">
      <c r="A30" s="9" t="inlineStr">
        <is>
          <t>—</t>
        </is>
      </c>
      <c r="B30" s="185" t="n"/>
      <c r="C30" s="185" t="n"/>
    </row>
    <row r="31" ht="15" customHeight="1" s="143">
      <c r="A31" s="173" t="inlineStr">
        <is>
          <t>Total Fixed Assets</t>
        </is>
      </c>
      <c r="B31" s="12">
        <f>SUM(B23:B30)</f>
        <v/>
      </c>
      <c r="C31" s="12">
        <f>SUM(C23:C30)</f>
        <v/>
      </c>
    </row>
    <row r="33" ht="15" customHeight="1" s="143">
      <c r="A33" s="8" t="inlineStr">
        <is>
          <t>Other Assets</t>
        </is>
      </c>
      <c r="B33" s="8" t="n"/>
      <c r="C33" s="8" t="n"/>
    </row>
    <row r="34" ht="15" customHeight="1" s="143">
      <c r="A34" s="9" t="inlineStr">
        <is>
          <t>Security Deposit</t>
        </is>
      </c>
      <c r="B34" s="185" t="n"/>
      <c r="C34" s="185" t="n"/>
    </row>
    <row r="35" ht="15" customHeight="1" s="143">
      <c r="A35" s="9" t="inlineStr">
        <is>
          <t>L-T Investments (VFT Global + IPS Mexico)</t>
        </is>
      </c>
      <c r="B35" s="185" t="n"/>
      <c r="C35" s="185" t="n"/>
    </row>
    <row r="36" ht="15" customHeight="1" s="143">
      <c r="A36" s="173" t="inlineStr">
        <is>
          <t>Total Other Assets</t>
        </is>
      </c>
      <c r="B36" s="12">
        <f>SUM(B34:B35)</f>
        <v/>
      </c>
      <c r="C36" s="12">
        <f>SUM(C34:C35)</f>
        <v/>
      </c>
    </row>
    <row r="38" ht="15" customHeight="1" s="143">
      <c r="A38" s="173" t="inlineStr">
        <is>
          <t>TOTAL ASSETS</t>
        </is>
      </c>
      <c r="B38" s="12">
        <f>B15+B20+B31+B36</f>
        <v/>
      </c>
      <c r="C38" s="12">
        <f>C15+C20+C31+C36</f>
        <v/>
      </c>
    </row>
    <row r="40" ht="15" customHeight="1" s="143">
      <c r="A40" s="8" t="inlineStr">
        <is>
          <t>LIABILITIES</t>
        </is>
      </c>
      <c r="B40" s="8" t="n"/>
      <c r="C40" s="8" t="n"/>
    </row>
    <row r="41" ht="15" customHeight="1" s="143">
      <c r="A41" s="8" t="inlineStr">
        <is>
          <t>Current Liabilities</t>
        </is>
      </c>
      <c r="B41" s="8" t="n"/>
      <c r="C41" s="8" t="n"/>
    </row>
    <row r="42" ht="15" customHeight="1" s="143">
      <c r="A42" s="9" t="inlineStr">
        <is>
          <t>Accounts Payable</t>
        </is>
      </c>
      <c r="B42" s="185" t="n"/>
      <c r="C42" s="185" t="n"/>
    </row>
    <row r="43" ht="15" customHeight="1" s="143">
      <c r="A43" s="9" t="inlineStr">
        <is>
          <t>—</t>
        </is>
      </c>
      <c r="B43" s="185" t="n"/>
      <c r="C43" s="185" t="n"/>
    </row>
    <row r="44" ht="15" customHeight="1" s="143">
      <c r="A44" s="9" t="inlineStr">
        <is>
          <t>Payroll Liabilities (401K ADP + Payroll Expense Liability)</t>
        </is>
      </c>
      <c r="B44" s="185" t="n"/>
      <c r="C44" s="185" t="n"/>
    </row>
    <row r="45" ht="15" customHeight="1" s="143">
      <c r="A45" s="9" t="inlineStr">
        <is>
          <t>Accrued Expenses</t>
        </is>
      </c>
      <c r="B45" s="185" t="n"/>
      <c r="C45" s="185" t="n"/>
    </row>
    <row r="46" ht="15" customHeight="1" s="143">
      <c r="A46" s="9" t="inlineStr">
        <is>
          <t>—</t>
        </is>
      </c>
      <c r="B46" s="185" t="n"/>
      <c r="C46" s="185" t="n"/>
    </row>
    <row r="47" ht="15" customHeight="1" s="143">
      <c r="A47" s="9" t="inlineStr">
        <is>
          <t>—</t>
        </is>
      </c>
      <c r="B47" s="185" t="n"/>
      <c r="C47" s="185" t="n"/>
    </row>
    <row r="48" ht="15" customHeight="1" s="143">
      <c r="A48" s="173" t="inlineStr">
        <is>
          <t>Total Current Liabilities</t>
        </is>
      </c>
      <c r="B48" s="12">
        <f>SUM(B42:B47)</f>
        <v/>
      </c>
      <c r="C48" s="12">
        <f>SUM(C42:C47)</f>
        <v/>
      </c>
    </row>
    <row r="50" ht="15" customHeight="1" s="143">
      <c r="A50" s="8" t="inlineStr">
        <is>
          <t>Long-Term Liabilities</t>
        </is>
      </c>
      <c r="B50" s="8" t="n"/>
      <c r="C50" s="8" t="n"/>
    </row>
    <row r="51" ht="15" customHeight="1" s="143">
      <c r="A51" s="9" t="inlineStr">
        <is>
          <t>—</t>
        </is>
      </c>
      <c r="B51" s="185" t="n"/>
      <c r="C51" s="185" t="n"/>
    </row>
    <row r="52" ht="15" customHeight="1" s="143">
      <c r="A52" s="9" t="inlineStr">
        <is>
          <t>—</t>
        </is>
      </c>
      <c r="B52" s="185" t="n"/>
      <c r="C52" s="185" t="n"/>
    </row>
    <row r="53" ht="15" customHeight="1" s="143">
      <c r="A53" s="9" t="inlineStr">
        <is>
          <t>—</t>
        </is>
      </c>
      <c r="B53" s="185" t="n"/>
      <c r="C53" s="185" t="n"/>
    </row>
    <row r="54" ht="15" customHeight="1" s="143">
      <c r="A54" s="173" t="inlineStr">
        <is>
          <t>Total Long-Term Liabilities</t>
        </is>
      </c>
      <c r="B54" s="12">
        <f>SUM(B51:B53)</f>
        <v/>
      </c>
      <c r="C54" s="12">
        <f>SUM(C51:C53)</f>
        <v/>
      </c>
    </row>
    <row r="56" ht="15" customHeight="1" s="143">
      <c r="A56" s="173" t="inlineStr">
        <is>
          <t>TOTAL LIABILITIES</t>
        </is>
      </c>
      <c r="B56" s="12">
        <f>B48+B54</f>
        <v/>
      </c>
      <c r="C56" s="12">
        <f>C48+C54</f>
        <v/>
      </c>
    </row>
    <row r="58" ht="15" customHeight="1" s="143">
      <c r="A58" s="8" t="inlineStr">
        <is>
          <t>EQUITY</t>
        </is>
      </c>
      <c r="B58" s="8" t="n"/>
      <c r="C58" s="8" t="n"/>
    </row>
    <row r="59" ht="15" customHeight="1" s="143">
      <c r="A59" s="9" t="inlineStr">
        <is>
          <t>Common Stock</t>
        </is>
      </c>
      <c r="B59" s="185" t="n"/>
      <c r="C59" s="185" t="n"/>
    </row>
    <row r="60" ht="15" customHeight="1" s="143">
      <c r="A60" s="9" t="inlineStr">
        <is>
          <t>—</t>
        </is>
      </c>
      <c r="B60" s="185" t="n"/>
      <c r="C60" s="185" t="n"/>
    </row>
    <row r="61" ht="15" customHeight="1" s="143">
      <c r="A61" s="9" t="inlineStr">
        <is>
          <t>Retained Earnings (Cumulative, per QuickBooks)</t>
        </is>
      </c>
      <c r="B61" s="185" t="n"/>
      <c r="C61" s="185" t="n"/>
      <c r="E61" t="inlineStr">
        <is>
          <t>Distributions</t>
        </is>
      </c>
    </row>
    <row r="62" ht="15" customHeight="1" s="143">
      <c r="A62" s="9" t="inlineStr">
        <is>
          <t>Sub. S Distributions (Cumulative thru Nov 30, 2025)</t>
        </is>
      </c>
      <c r="B62" s="185" t="n"/>
      <c r="C62" s="185" t="n"/>
      <c r="E62" s="10">
        <f>B62-C62</f>
        <v/>
      </c>
    </row>
    <row r="63" ht="15" customHeight="1" s="143">
      <c r="A63" s="9" t="inlineStr">
        <is>
          <t xml:space="preserve">   ↳ CY Distributions only (Sch K Ln 16d / M-2): $877,164.44 — tracked in WTB distributions section</t>
        </is>
      </c>
      <c r="B63" s="185" t="n"/>
      <c r="C63" s="185" t="n"/>
    </row>
    <row r="64" ht="15" customHeight="1" s="143">
      <c r="A64" s="173" t="inlineStr">
        <is>
          <t>Net Income (Current Year)</t>
        </is>
      </c>
      <c r="B64" s="12">
        <f>'P&amp;L'!B63</f>
        <v/>
      </c>
      <c r="C64" s="186" t="n"/>
    </row>
    <row r="65" ht="15" customHeight="1" s="143">
      <c r="A65" s="173" t="inlineStr">
        <is>
          <t>Total Equity</t>
        </is>
      </c>
      <c r="B65" s="12">
        <f>SUM(B59:B64)</f>
        <v/>
      </c>
      <c r="C65" s="12">
        <f>SUM(C59:C64)</f>
        <v/>
      </c>
    </row>
    <row r="67" ht="15" customHeight="1" s="143">
      <c r="A67" s="173" t="inlineStr">
        <is>
          <t>TOTAL LIABILITIES &amp; EQUITY</t>
        </is>
      </c>
      <c r="B67" s="12">
        <f>B56+B65</f>
        <v/>
      </c>
      <c r="C67" s="12">
        <f>C56+C65</f>
        <v/>
      </c>
      <c r="D67" s="10">
        <f>'PBC- Balance Sheet'!B89-' Balance Sheet'!B67</f>
        <v/>
      </c>
      <c r="E67" s="10">
        <f>C67-'PBC- Balance Sheet'!C89</f>
        <v/>
      </c>
    </row>
    <row r="68" ht="15" customHeight="1" s="143">
      <c r="A68" s="145" t="inlineStr">
        <is>
          <t>CHECK: Assets - L&amp;E (should be zero)</t>
        </is>
      </c>
      <c r="B68" s="17">
        <f>B38-B67</f>
        <v/>
      </c>
      <c r="C68" s="10">
        <f>C38-C67</f>
        <v/>
      </c>
    </row>
  </sheetData>
  <mergeCells count="3">
    <mergeCell ref="A1:C1"/>
    <mergeCell ref="A3:C3"/>
    <mergeCell ref="A2:C2"/>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93"/>
  <sheetViews>
    <sheetView topLeftCell="A45" workbookViewId="0">
      <selection activeCell="A49" sqref="A49"/>
    </sheetView>
  </sheetViews>
  <sheetFormatPr baseColWidth="8" defaultRowHeight="15"/>
  <cols>
    <col width="59.7109375" customWidth="1" style="152" min="1" max="1"/>
    <col width="23.28515625" customWidth="1" style="152" min="2" max="2"/>
    <col width="28.28515625" customWidth="1" style="152" min="3" max="3"/>
  </cols>
  <sheetData>
    <row r="1">
      <c r="A1" s="203" t="inlineStr">
        <is>
          <t>PASTE CLIENT BALANCE SHEET FROM QUICKBOOKS HERE</t>
        </is>
      </c>
    </row>
    <row r="2">
      <c r="A2" s="204" t="inlineStr">
        <is>
          <t>Column A = Account Name, Column B = Current Year, Column C = Prior Year</t>
        </is>
      </c>
    </row>
    <row r="3">
      <c r="A3" s="204" t="inlineStr">
        <is>
          <t>Row 88: Total Equity, Row 89: Total L&amp;E (referenced by M-2 formulas)</t>
        </is>
      </c>
    </row>
    <row r="4">
      <c r="A4" s="205" t="n"/>
      <c r="B4" s="205" t="n"/>
      <c r="C4" s="205" t="n"/>
    </row>
    <row r="5">
      <c r="A5" s="206" t="n"/>
      <c r="B5" s="206" t="n"/>
      <c r="C5" s="205" t="n"/>
    </row>
    <row r="6">
      <c r="A6" s="205" t="n"/>
      <c r="B6" s="206" t="n"/>
      <c r="C6" s="206" t="n"/>
    </row>
    <row r="7">
      <c r="A7" s="207" t="n"/>
      <c r="B7" s="205" t="n"/>
      <c r="C7" s="205" t="n"/>
    </row>
    <row r="8">
      <c r="A8" s="208" t="n"/>
      <c r="B8" s="205" t="n"/>
      <c r="C8" s="205" t="n"/>
    </row>
    <row r="9">
      <c r="A9" s="209" t="n"/>
      <c r="B9" s="205" t="n"/>
      <c r="C9" s="205" t="n"/>
    </row>
    <row r="10">
      <c r="A10" s="210" t="n"/>
      <c r="B10" s="211" t="n"/>
      <c r="C10" s="211" t="n"/>
    </row>
    <row r="11">
      <c r="A11" s="212" t="n"/>
      <c r="B11" s="213" t="n"/>
      <c r="C11" s="213" t="n"/>
    </row>
    <row r="12">
      <c r="A12" s="212" t="n"/>
      <c r="B12" s="213" t="n"/>
      <c r="C12" s="213" t="n"/>
    </row>
    <row r="13">
      <c r="A13" s="212" t="n"/>
      <c r="B13" s="213" t="n"/>
      <c r="C13" s="213" t="n"/>
    </row>
    <row r="14">
      <c r="A14" s="214" t="n"/>
      <c r="B14" s="215" t="n"/>
      <c r="C14" s="215" t="n"/>
    </row>
    <row r="15">
      <c r="A15" s="210" t="n"/>
      <c r="B15" s="213" t="n"/>
      <c r="C15" s="213" t="n"/>
    </row>
    <row r="16">
      <c r="A16" s="216" t="n"/>
      <c r="B16" s="215" t="n"/>
      <c r="C16" s="215" t="n"/>
    </row>
    <row r="17">
      <c r="A17" s="209" t="n"/>
      <c r="B17" s="205" t="n"/>
      <c r="C17" s="205" t="n"/>
    </row>
    <row r="18">
      <c r="A18" s="210" t="n"/>
      <c r="B18" s="213" t="n"/>
      <c r="C18" s="213" t="n"/>
    </row>
    <row r="19">
      <c r="A19" s="216" t="n"/>
      <c r="B19" s="215" t="n"/>
      <c r="C19" s="215" t="n"/>
    </row>
    <row r="20">
      <c r="A20" s="209" t="n"/>
      <c r="B20" s="205" t="n"/>
      <c r="C20" s="205" t="n"/>
    </row>
    <row r="21">
      <c r="A21" s="210" t="n"/>
      <c r="B21" s="211" t="n"/>
      <c r="C21" s="211" t="n"/>
    </row>
    <row r="22">
      <c r="A22" s="212" t="n"/>
      <c r="B22" s="213" t="n"/>
      <c r="C22" s="213" t="n"/>
    </row>
    <row r="23">
      <c r="A23" s="212" t="n"/>
      <c r="B23" s="213" t="n"/>
      <c r="C23" s="213" t="n"/>
    </row>
    <row r="24">
      <c r="A24" s="212" t="n"/>
      <c r="B24" s="213" t="n"/>
      <c r="C24" s="213" t="n"/>
    </row>
    <row r="25">
      <c r="A25" s="212" t="n"/>
      <c r="B25" s="213" t="n"/>
      <c r="C25" s="213" t="n"/>
    </row>
    <row r="26">
      <c r="A26" s="212" t="n"/>
      <c r="B26" s="213" t="n"/>
      <c r="C26" s="213" t="n"/>
    </row>
    <row r="27">
      <c r="A27" s="214" t="n"/>
      <c r="B27" s="215" t="n"/>
      <c r="C27" s="215" t="n"/>
    </row>
    <row r="28">
      <c r="A28" s="210" t="n"/>
      <c r="B28" s="213" t="n"/>
      <c r="C28" s="213" t="n"/>
    </row>
    <row r="29">
      <c r="A29" s="210" t="n"/>
      <c r="B29" s="213" t="n"/>
      <c r="C29" s="213" t="n"/>
    </row>
    <row r="30">
      <c r="A30" s="210" t="n"/>
      <c r="B30" s="213" t="n"/>
      <c r="C30" s="213" t="n"/>
    </row>
    <row r="31">
      <c r="A31" s="210" t="n"/>
      <c r="B31" s="211" t="n"/>
      <c r="C31" s="211" t="n"/>
    </row>
    <row r="32">
      <c r="A32" s="212" t="n"/>
      <c r="B32" s="213" t="n"/>
      <c r="C32" s="213" t="n"/>
    </row>
    <row r="33">
      <c r="A33" s="212" t="n"/>
      <c r="B33" s="213" t="n"/>
      <c r="C33" s="213" t="n"/>
    </row>
    <row r="34">
      <c r="A34" s="212" t="n"/>
      <c r="B34" s="213" t="n"/>
      <c r="C34" s="213" t="n"/>
    </row>
    <row r="35">
      <c r="A35" s="214" t="n"/>
      <c r="B35" s="215" t="n"/>
      <c r="C35" s="215" t="n"/>
    </row>
    <row r="36">
      <c r="A36" s="210" t="n"/>
      <c r="B36" s="213" t="n"/>
      <c r="C36" s="213" t="n"/>
    </row>
    <row r="37">
      <c r="A37" s="216" t="n"/>
      <c r="B37" s="215" t="n"/>
      <c r="C37" s="215" t="n"/>
    </row>
    <row r="38">
      <c r="A38" s="217" t="n"/>
      <c r="B38" s="215" t="n"/>
      <c r="C38" s="215" t="n"/>
    </row>
    <row r="39">
      <c r="A39" s="208" t="n"/>
      <c r="B39" s="205" t="n"/>
      <c r="C39" s="205" t="n"/>
    </row>
    <row r="40">
      <c r="A40" s="209" t="n"/>
      <c r="B40" s="213" t="n"/>
      <c r="C40" s="213" t="n"/>
    </row>
    <row r="41">
      <c r="A41" s="209" t="n"/>
      <c r="B41" s="213" t="n"/>
      <c r="C41" s="211" t="n"/>
    </row>
    <row r="42">
      <c r="A42" s="210" t="n"/>
      <c r="B42" s="213" t="n"/>
      <c r="C42" s="211" t="n"/>
    </row>
    <row r="43">
      <c r="A43" s="216" t="n"/>
      <c r="B43" s="215" t="n"/>
      <c r="C43" s="218" t="n"/>
    </row>
    <row r="44">
      <c r="A44" s="217" t="n"/>
      <c r="B44" s="215" t="n"/>
      <c r="C44" s="218" t="n"/>
    </row>
    <row r="45">
      <c r="A45" s="208" t="n"/>
      <c r="B45" s="205" t="n"/>
      <c r="C45" s="205" t="n"/>
    </row>
    <row r="46">
      <c r="A46" s="209" t="n"/>
      <c r="B46" s="211" t="n"/>
      <c r="C46" s="211" t="n"/>
    </row>
    <row r="47">
      <c r="A47" s="210" t="n"/>
      <c r="B47" s="213" t="n"/>
      <c r="C47" s="213" t="n"/>
    </row>
    <row r="48">
      <c r="A48" s="216" t="n"/>
      <c r="B48" s="215" t="n"/>
      <c r="C48" s="215" t="n"/>
    </row>
    <row r="49">
      <c r="A49" s="209" t="n"/>
      <c r="B49" s="213" t="n"/>
      <c r="C49" s="213" t="n"/>
    </row>
    <row r="50">
      <c r="A50" s="209" t="n"/>
      <c r="B50" s="213" t="n"/>
      <c r="C50" s="213" t="n"/>
    </row>
    <row r="51">
      <c r="A51" s="209" t="n"/>
      <c r="B51" s="211" t="n"/>
      <c r="C51" s="211" t="n"/>
    </row>
    <row r="52">
      <c r="A52" s="210" t="n"/>
      <c r="B52" s="213" t="n"/>
      <c r="C52" s="213" t="n"/>
    </row>
    <row r="53">
      <c r="A53" s="210" t="n"/>
      <c r="B53" s="213" t="n"/>
      <c r="C53" s="213" t="n"/>
    </row>
    <row r="54">
      <c r="A54" s="216" t="n"/>
      <c r="B54" s="215" t="n"/>
      <c r="C54" s="215" t="n"/>
    </row>
    <row r="55">
      <c r="A55" s="217" t="n"/>
      <c r="B55" s="215" t="n"/>
      <c r="C55" s="215" t="n"/>
    </row>
    <row r="56">
      <c r="A56" s="219" t="n"/>
      <c r="B56" s="215" t="n"/>
      <c r="C56" s="215" t="n"/>
    </row>
    <row r="57">
      <c r="A57" s="207" t="n"/>
      <c r="B57" s="205" t="n"/>
      <c r="C57" s="205" t="n"/>
    </row>
    <row r="58">
      <c r="A58" s="208" t="n"/>
      <c r="B58" s="205" t="n"/>
      <c r="C58" s="205" t="n"/>
    </row>
    <row r="59">
      <c r="A59" s="209" t="n"/>
      <c r="B59" s="205" t="n"/>
      <c r="C59" s="205" t="n"/>
    </row>
    <row r="60">
      <c r="A60" s="210" t="n"/>
      <c r="B60" s="205" t="n"/>
      <c r="C60" s="205" t="n"/>
    </row>
    <row r="61">
      <c r="A61" s="212" t="n"/>
      <c r="B61" s="213" t="n"/>
      <c r="C61" s="213" t="n"/>
    </row>
    <row r="62">
      <c r="A62" s="214" t="n"/>
      <c r="B62" s="215" t="n"/>
      <c r="C62" s="215" t="n"/>
    </row>
    <row r="63">
      <c r="A63" s="210" t="n"/>
      <c r="B63" s="205" t="n"/>
      <c r="C63" s="205" t="n"/>
    </row>
    <row r="64">
      <c r="A64" s="212" t="n"/>
      <c r="B64" s="213" t="n"/>
      <c r="C64" s="213" t="n"/>
    </row>
    <row r="65">
      <c r="A65" s="212" t="n"/>
      <c r="B65" s="213" t="n"/>
      <c r="C65" s="213" t="n"/>
    </row>
    <row r="66">
      <c r="A66" s="212" t="n"/>
      <c r="B66" s="213" t="n"/>
      <c r="C66" s="211" t="n"/>
    </row>
    <row r="67">
      <c r="A67" s="220" t="n"/>
      <c r="B67" s="213" t="n"/>
      <c r="C67" s="213" t="n"/>
    </row>
    <row r="68">
      <c r="A68" s="220" t="n"/>
      <c r="B68" s="213" t="n"/>
      <c r="C68" s="213" t="n"/>
    </row>
    <row r="69">
      <c r="A69" s="220" t="n"/>
      <c r="B69" s="213" t="n"/>
      <c r="C69" s="213" t="n"/>
    </row>
    <row r="70">
      <c r="A70" s="220" t="n"/>
      <c r="B70" s="213" t="n"/>
      <c r="C70" s="213" t="n"/>
    </row>
    <row r="71">
      <c r="A71" s="220" t="n"/>
      <c r="B71" s="213" t="n"/>
      <c r="C71" s="213" t="n"/>
    </row>
    <row r="72">
      <c r="A72" s="221" t="n"/>
      <c r="B72" s="215" t="n"/>
      <c r="C72" s="215" t="n"/>
    </row>
    <row r="73">
      <c r="A73" s="212" t="n"/>
      <c r="B73" s="213" t="n"/>
      <c r="C73" s="213" t="n"/>
    </row>
    <row r="74">
      <c r="A74" s="214" t="n"/>
      <c r="B74" s="215" t="n"/>
      <c r="C74" s="215" t="n"/>
    </row>
    <row r="75">
      <c r="A75" s="216" t="n"/>
      <c r="B75" s="215" t="n"/>
      <c r="C75" s="215" t="n"/>
    </row>
    <row r="76">
      <c r="A76" s="209" t="n"/>
      <c r="B76" s="205" t="n"/>
      <c r="C76" s="205" t="n"/>
    </row>
    <row r="77">
      <c r="A77" s="210" t="n"/>
      <c r="B77" s="213" t="n"/>
      <c r="C77" s="213" t="n"/>
    </row>
    <row r="78">
      <c r="A78" s="217" t="n"/>
      <c r="B78" s="215" t="n"/>
      <c r="C78" s="215" t="n"/>
    </row>
    <row r="79">
      <c r="A79" s="208" t="n"/>
      <c r="B79" s="205" t="n"/>
      <c r="C79" s="205" t="n"/>
    </row>
    <row r="80">
      <c r="A80" s="209" t="n"/>
      <c r="B80" s="213" t="n"/>
      <c r="C80" s="213" t="n"/>
    </row>
    <row r="81">
      <c r="A81" s="209" t="n"/>
      <c r="B81" s="213" t="n"/>
      <c r="C81" s="213" t="n"/>
    </row>
    <row r="82">
      <c r="A82" s="209" t="n"/>
      <c r="B82" s="213" t="n"/>
      <c r="C82" s="213" t="n"/>
    </row>
    <row r="83">
      <c r="A83" s="209" t="n"/>
      <c r="B83" s="213" t="n"/>
      <c r="C83" s="213" t="n"/>
    </row>
    <row r="84">
      <c r="A84" s="209" t="n"/>
      <c r="B84" s="213" t="n"/>
      <c r="C84" s="213" t="n"/>
    </row>
    <row r="85">
      <c r="A85" s="209" t="n"/>
      <c r="B85" s="213" t="n"/>
      <c r="C85" s="213" t="n"/>
    </row>
    <row r="86">
      <c r="A86" s="209" t="n"/>
      <c r="B86" s="213" t="n"/>
      <c r="C86" s="213" t="n"/>
    </row>
    <row r="87">
      <c r="A87" s="209" t="n"/>
      <c r="B87" s="213" t="n"/>
      <c r="C87" s="213" t="n"/>
    </row>
    <row r="88">
      <c r="A88" s="222" t="n"/>
      <c r="B88" s="223" t="inlineStr">
        <is>
          <t>Total Equity</t>
        </is>
      </c>
      <c r="C88" s="224" t="n"/>
    </row>
    <row r="89">
      <c r="A89" s="225" t="n"/>
      <c r="B89" s="223" t="inlineStr">
        <is>
          <t>Total L&amp;E</t>
        </is>
      </c>
      <c r="C89" s="224" t="n"/>
    </row>
    <row r="93">
      <c r="A93" s="153" t="n"/>
    </row>
  </sheetData>
  <mergeCells count="5">
    <mergeCell ref="A1:C1"/>
    <mergeCell ref="A93:C93"/>
    <mergeCell ref="B5:C5"/>
    <mergeCell ref="A3:C3"/>
    <mergeCell ref="A2:C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67"/>
  <sheetViews>
    <sheetView topLeftCell="A22" workbookViewId="0">
      <selection activeCell="B59" sqref="B59"/>
    </sheetView>
  </sheetViews>
  <sheetFormatPr baseColWidth="8" defaultColWidth="30" defaultRowHeight="15"/>
  <sheetData>
    <row r="1" ht="15.75" customHeight="1" s="143">
      <c r="A1" s="226" t="inlineStr">
        <is>
          <t>PASTE CLIENT P&amp;L FROM QUICKBOOKS HERE</t>
        </is>
      </c>
    </row>
    <row r="2" ht="15.75" customHeight="1" s="143">
      <c r="A2" s="227" t="inlineStr">
        <is>
          <t>Column A = Account Name, Column B = Amount (Current Year)</t>
        </is>
      </c>
    </row>
    <row r="3" ht="15.75" customHeight="1" s="143">
      <c r="A3" s="227" t="inlineStr">
        <is>
          <t>Row 63: Net Income (this cell is referenced by formulas)</t>
        </is>
      </c>
    </row>
    <row r="4">
      <c r="A4" s="205" t="n"/>
      <c r="B4" s="205" t="n"/>
      <c r="C4" s="205" t="n"/>
    </row>
    <row r="5" ht="15.75" customHeight="1" s="143">
      <c r="A5" s="206" t="n"/>
      <c r="B5" s="206" t="n"/>
      <c r="C5" s="205" t="n"/>
    </row>
    <row r="6" ht="15.75" customHeight="1" s="143">
      <c r="A6" s="228" t="n"/>
      <c r="B6" s="206" t="n"/>
      <c r="C6" s="206" t="n"/>
    </row>
    <row r="7" ht="15.75" customHeight="1" s="143">
      <c r="A7" s="229" t="n"/>
      <c r="B7" s="228" t="n"/>
      <c r="C7" s="228" t="n"/>
    </row>
    <row r="8">
      <c r="A8" s="230" t="n"/>
      <c r="B8" s="231" t="n"/>
      <c r="C8" s="231" t="n"/>
    </row>
    <row r="9">
      <c r="A9" s="232" t="n"/>
      <c r="B9" s="233" t="n"/>
      <c r="C9" s="233" t="n"/>
    </row>
    <row r="10">
      <c r="A10" s="232" t="n"/>
      <c r="B10" s="233" t="n"/>
      <c r="C10" s="233" t="n"/>
    </row>
    <row r="11" ht="15.75" customHeight="1" s="143">
      <c r="A11" s="229" t="n"/>
      <c r="B11" s="228" t="n"/>
      <c r="C11" s="228" t="n"/>
    </row>
    <row r="12">
      <c r="A12" s="230" t="n"/>
      <c r="B12" s="234" t="n"/>
      <c r="C12" s="234" t="n"/>
    </row>
    <row r="13">
      <c r="A13" s="235" t="n"/>
      <c r="B13" s="231" t="n"/>
      <c r="C13" s="231" t="n"/>
    </row>
    <row r="14">
      <c r="A14" s="235" t="n"/>
      <c r="B14" s="231" t="n"/>
      <c r="C14" s="231" t="n"/>
    </row>
    <row r="15">
      <c r="A15" s="235" t="n"/>
      <c r="B15" s="231" t="n"/>
      <c r="C15" s="231" t="n"/>
    </row>
    <row r="16">
      <c r="A16" s="235" t="n"/>
      <c r="B16" s="231" t="n"/>
      <c r="C16" s="231" t="n"/>
    </row>
    <row r="17">
      <c r="A17" s="235" t="n"/>
      <c r="B17" s="231" t="n"/>
      <c r="C17" s="231" t="n"/>
    </row>
    <row r="18">
      <c r="A18" s="235" t="n"/>
      <c r="B18" s="231" t="n"/>
      <c r="C18" s="231" t="n"/>
    </row>
    <row r="19">
      <c r="A19" s="235" t="n"/>
      <c r="B19" s="234" t="n"/>
      <c r="C19" s="231" t="n"/>
    </row>
    <row r="20">
      <c r="A20" s="235" t="n"/>
      <c r="B20" s="234" t="n"/>
      <c r="C20" s="231" t="n"/>
    </row>
    <row r="21">
      <c r="A21" s="236" t="n"/>
      <c r="B21" s="233" t="n"/>
      <c r="C21" s="233" t="n"/>
    </row>
    <row r="22" ht="23.25" customHeight="1" s="143">
      <c r="A22" s="230" t="n"/>
      <c r="B22" s="234" t="n"/>
      <c r="C22" s="234" t="n"/>
    </row>
    <row r="23">
      <c r="A23" s="235" t="n"/>
      <c r="B23" s="234" t="n"/>
      <c r="C23" s="234" t="n"/>
    </row>
    <row r="24">
      <c r="A24" s="237" t="n"/>
      <c r="B24" s="231" t="n"/>
      <c r="C24" s="234" t="n"/>
    </row>
    <row r="25">
      <c r="A25" s="238" t="n"/>
      <c r="B25" s="233" t="n"/>
      <c r="C25" s="239" t="n"/>
    </row>
    <row r="26">
      <c r="A26" s="235" t="n"/>
      <c r="B26" s="234" t="n"/>
      <c r="C26" s="234" t="n"/>
    </row>
    <row r="27">
      <c r="A27" s="237" t="n"/>
      <c r="B27" s="231" t="n"/>
      <c r="C27" s="231" t="n"/>
    </row>
    <row r="28">
      <c r="A28" s="238" t="n"/>
      <c r="B28" s="233" t="n"/>
      <c r="C28" s="233" t="n"/>
    </row>
    <row r="29">
      <c r="A29" s="235" t="n"/>
      <c r="B29" s="234" t="n"/>
      <c r="C29" s="234" t="n"/>
    </row>
    <row r="30">
      <c r="A30" s="237" t="n"/>
      <c r="B30" s="231" t="n"/>
      <c r="C30" s="231" t="n"/>
    </row>
    <row r="31">
      <c r="A31" s="238" t="n"/>
      <c r="B31" s="233" t="n"/>
      <c r="C31" s="233" t="n"/>
    </row>
    <row r="32">
      <c r="A32" s="235" t="n"/>
      <c r="B32" s="234" t="n"/>
      <c r="C32" s="234" t="n"/>
    </row>
    <row r="33">
      <c r="A33" s="237" t="n"/>
      <c r="B33" s="231" t="n"/>
      <c r="C33" s="231" t="n"/>
    </row>
    <row r="34">
      <c r="A34" s="238" t="n"/>
      <c r="B34" s="233" t="n"/>
      <c r="C34" s="233" t="n"/>
    </row>
    <row r="35">
      <c r="A35" s="235" t="n"/>
      <c r="B35" s="234" t="n"/>
      <c r="C35" s="234" t="n"/>
    </row>
    <row r="36">
      <c r="A36" s="237" t="n"/>
      <c r="B36" s="231" t="n"/>
      <c r="C36" s="231" t="n"/>
    </row>
    <row r="37">
      <c r="A37" s="237" t="n"/>
      <c r="B37" s="231" t="n"/>
      <c r="C37" s="231" t="n"/>
    </row>
    <row r="38">
      <c r="A38" s="237" t="n"/>
      <c r="B38" s="231" t="n"/>
      <c r="C38" s="231" t="n"/>
    </row>
    <row r="39">
      <c r="A39" s="237" t="n"/>
      <c r="B39" s="231" t="n"/>
      <c r="C39" s="231" t="n"/>
    </row>
    <row r="40">
      <c r="A40" s="237" t="n"/>
      <c r="B40" s="234" t="n"/>
      <c r="C40" s="231" t="n"/>
    </row>
    <row r="41">
      <c r="A41" s="238" t="n"/>
      <c r="B41" s="233" t="n"/>
      <c r="C41" s="233" t="n"/>
    </row>
    <row r="42">
      <c r="A42" s="235" t="n"/>
      <c r="B42" s="231" t="n"/>
      <c r="C42" s="231" t="n"/>
    </row>
    <row r="43" ht="23.25" customHeight="1" s="143">
      <c r="A43" s="236" t="n"/>
      <c r="B43" s="233" t="n"/>
      <c r="C43" s="233" t="n"/>
    </row>
    <row r="44">
      <c r="A44" s="230" t="n"/>
      <c r="B44" s="231" t="n"/>
      <c r="C44" s="234" t="n"/>
    </row>
    <row r="45">
      <c r="A45" s="230" t="n"/>
      <c r="B45" s="231" t="n"/>
      <c r="C45" s="231" t="n"/>
    </row>
    <row r="46">
      <c r="A46" s="230" t="n"/>
      <c r="B46" s="231" t="n"/>
      <c r="C46" s="231" t="n"/>
    </row>
    <row r="47">
      <c r="A47" s="230" t="n"/>
      <c r="B47" s="231" t="n"/>
      <c r="C47" s="234" t="n"/>
    </row>
    <row r="48">
      <c r="A48" s="230" t="n"/>
      <c r="B48" s="231" t="n"/>
      <c r="C48" s="231" t="n"/>
    </row>
    <row r="49">
      <c r="A49" s="230" t="n"/>
      <c r="B49" s="231" t="n"/>
      <c r="C49" s="234" t="n"/>
    </row>
    <row r="50">
      <c r="A50" s="232" t="n"/>
      <c r="B50" s="233" t="n"/>
      <c r="C50" s="233" t="n"/>
    </row>
    <row r="51">
      <c r="A51" s="232" t="n"/>
      <c r="B51" s="233" t="n"/>
      <c r="C51" s="233" t="n"/>
    </row>
    <row r="52" ht="15.75" customHeight="1" s="143">
      <c r="A52" s="229" t="n"/>
      <c r="B52" s="228" t="n"/>
      <c r="C52" s="228" t="n"/>
    </row>
    <row r="53">
      <c r="A53" s="230" t="n"/>
      <c r="B53" s="231" t="n"/>
      <c r="C53" s="231" t="n"/>
    </row>
    <row r="54">
      <c r="A54" s="230" t="n"/>
      <c r="B54" s="231" t="n"/>
      <c r="C54" s="231" t="n"/>
    </row>
    <row r="55">
      <c r="A55" s="230" t="n"/>
      <c r="B55" s="231" t="n"/>
      <c r="C55" s="231" t="n"/>
    </row>
    <row r="56">
      <c r="A56" s="230" t="n"/>
      <c r="B56" s="231" t="n"/>
      <c r="C56" s="234" t="n"/>
    </row>
    <row r="57">
      <c r="A57" s="232" t="n"/>
      <c r="B57" s="233" t="n"/>
      <c r="C57" s="233" t="n"/>
    </row>
    <row r="58" ht="15.75" customHeight="1" s="143">
      <c r="A58" s="229" t="n"/>
      <c r="B58" s="228" t="n"/>
      <c r="C58" s="228" t="n"/>
    </row>
    <row r="59">
      <c r="A59" s="230" t="n"/>
      <c r="B59" s="231" t="n"/>
      <c r="C59" s="234" t="n"/>
    </row>
    <row r="60">
      <c r="A60" s="230" t="n"/>
      <c r="B60" s="231" t="n"/>
      <c r="C60" s="234" t="n"/>
    </row>
    <row r="61">
      <c r="A61" s="232" t="n"/>
      <c r="B61" s="233" t="n"/>
      <c r="C61" s="239" t="n"/>
    </row>
    <row r="62">
      <c r="A62" s="232" t="n"/>
      <c r="B62" s="233" t="n"/>
      <c r="C62" s="233" t="n"/>
    </row>
    <row r="63">
      <c r="A63" s="240" t="n"/>
      <c r="B63" s="241" t="inlineStr">
        <is>
          <t>Net Income goes here</t>
        </is>
      </c>
      <c r="C63" s="130" t="n"/>
    </row>
    <row r="67" ht="15.75" customHeight="1" s="143">
      <c r="A67" s="159" t="n"/>
    </row>
  </sheetData>
  <mergeCells count="5">
    <mergeCell ref="A1:C1"/>
    <mergeCell ref="B5:C5"/>
    <mergeCell ref="A67:C67"/>
    <mergeCell ref="A3:C3"/>
    <mergeCell ref="A2:C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81"/>
  <sheetViews>
    <sheetView zoomScaleNormal="100" workbookViewId="0">
      <pane ySplit="6" topLeftCell="A124" activePane="bottomLeft" state="frozen"/>
      <selection pane="bottomLeft" activeCell="H171" sqref="H171"/>
    </sheetView>
  </sheetViews>
  <sheetFormatPr baseColWidth="8" defaultColWidth="8.7109375" defaultRowHeight="15"/>
  <cols>
    <col width="52" customWidth="1" style="143" min="1" max="1"/>
    <col width="18" customWidth="1" style="143" min="2" max="4"/>
    <col width="22" customWidth="1" style="143" min="5" max="5"/>
    <col width="18" customWidth="1" style="143" min="6" max="6"/>
    <col width="14" customWidth="1" style="143" min="7" max="7"/>
    <col width="60" customWidth="1" style="143" min="8" max="8"/>
    <col hidden="1" width="13" customWidth="1" style="143" min="10" max="10"/>
  </cols>
  <sheetData>
    <row r="1" ht="17.25" customHeight="1" s="143">
      <c r="A1" s="193" t="inlineStr">
        <is>
          <t>[ENTITY NAME] — 1120-S Working Trial Balance</t>
        </is>
      </c>
    </row>
    <row r="2" ht="15" customHeight="1" s="143">
      <c r="A2" s="194" t="inlineStr">
        <is>
          <t>Tax Year Ended [MM/DD/YYYY]</t>
        </is>
      </c>
    </row>
    <row r="3" ht="15" customHeight="1" s="143">
      <c r="A3" s="149" t="inlineStr">
        <is>
          <t>Prepared by: ____________    Reviewed by: ____________    Date: ____________</t>
        </is>
      </c>
    </row>
    <row r="4" ht="15" customHeight="1" s="143"/>
    <row r="5" ht="54.75" customHeight="1" s="143">
      <c r="A5" s="7" t="inlineStr">
        <is>
          <t>Account Description</t>
        </is>
      </c>
      <c r="B5" s="152" t="inlineStr">
        <is>
          <t>A
PBC / Book
(As Provided)</t>
        </is>
      </c>
      <c r="C5" s="152" t="inlineStr">
        <is>
          <t>B
Pre-Book
Reclass Adj</t>
        </is>
      </c>
      <c r="D5" s="7" t="inlineStr">
        <is>
          <t>C = A+B
Adjusted Book
(Post-Reclass)</t>
        </is>
      </c>
      <c r="E5" s="7" t="inlineStr">
        <is>
          <t>D
Schedule K
Adjustments</t>
        </is>
      </c>
      <c r="F5" s="7" t="inlineStr">
        <is>
          <t>E = C+D
Tax Return
Amount</t>
        </is>
      </c>
      <c r="G5" s="7" t="inlineStr">
        <is>
          <t>Ties To
(Tax Return Line)</t>
        </is>
      </c>
      <c r="H5" s="7" t="inlineStr">
        <is>
          <t>F
M-1
Adjustments</t>
        </is>
      </c>
      <c r="I5" s="7" t="inlineStr">
        <is>
          <t>M-1
Line Ref</t>
        </is>
      </c>
      <c r="J5" s="7" t="inlineStr">
        <is>
          <t>Notes / Explanation</t>
        </is>
      </c>
    </row>
    <row r="6" ht="15" customHeight="1" s="143">
      <c r="A6" s="165" t="inlineStr">
        <is>
          <t>LEGEND:   ■ Yellow = M-1 adjustment   ■ Green = Separately stated (→ Sch K)   ■ Orange = Nondeductible   ■ Purple = Basis-affecting (AAA/OAA)   ■ Red = Prior-year / Manually Enter</t>
        </is>
      </c>
    </row>
    <row r="7" ht="15" customHeight="1" s="143">
      <c r="A7" s="200" t="inlineStr">
        <is>
          <t>ASSETS (from PBC Balance Sheet — Sch L)</t>
        </is>
      </c>
      <c r="D7" s="8" t="n"/>
      <c r="E7" s="8" t="n"/>
      <c r="F7" s="8" t="n"/>
      <c r="G7" s="8" t="n"/>
      <c r="H7" s="8" t="n"/>
      <c r="I7" s="8" t="n"/>
      <c r="J7" s="8" t="n"/>
    </row>
    <row r="8" ht="15" customHeight="1" s="143">
      <c r="A8" s="60" t="inlineStr">
        <is>
          <t>1000 · Cash - Business Checking</t>
        </is>
      </c>
      <c r="B8" s="10">
        <f>' Balance Sheet'!B8</f>
        <v/>
      </c>
      <c r="C8" t="n">
        <v>0</v>
      </c>
      <c r="D8" s="61">
        <f>B8+C8</f>
        <v/>
      </c>
      <c r="E8" s="61" t="n"/>
      <c r="F8" s="61">
        <f>D8</f>
        <v/>
      </c>
      <c r="G8" s="62" t="inlineStr">
        <is>
          <t>Sch L, Ln 1</t>
        </is>
      </c>
      <c r="H8" s="61" t="n"/>
      <c r="I8" s="62" t="n"/>
      <c r="J8" s="63" t="n"/>
    </row>
    <row r="9" ht="15" customHeight="1" s="143">
      <c r="A9" s="60" t="inlineStr">
        <is>
          <t>1010 · Cash - Business Savings</t>
        </is>
      </c>
      <c r="B9" s="10">
        <f>' Balance Sheet'!B9</f>
        <v/>
      </c>
      <c r="C9" s="195" t="n"/>
      <c r="D9" s="61">
        <f>B9+C9</f>
        <v/>
      </c>
      <c r="E9" s="61" t="n"/>
      <c r="F9" s="61">
        <f>D9</f>
        <v/>
      </c>
      <c r="G9" s="62" t="inlineStr">
        <is>
          <t>Sch L, Ln 1</t>
        </is>
      </c>
      <c r="H9" s="61" t="n"/>
      <c r="I9" s="62" t="n"/>
      <c r="J9" s="63" t="n"/>
    </row>
    <row r="10" ht="15" customHeight="1" s="143">
      <c r="A10" s="60" t="inlineStr">
        <is>
          <t>1020 · Accounts Receivable</t>
        </is>
      </c>
      <c r="B10" s="10">
        <f>' Balance Sheet'!B10</f>
        <v/>
      </c>
      <c r="C10" t="n">
        <v>0</v>
      </c>
      <c r="D10" s="61">
        <f>B10+C10</f>
        <v/>
      </c>
      <c r="E10" s="61" t="n"/>
      <c r="F10" s="61">
        <f>D10</f>
        <v/>
      </c>
      <c r="G10" s="62" t="inlineStr">
        <is>
          <t>Sch L, Ln 5a</t>
        </is>
      </c>
      <c r="H10" s="61" t="n"/>
      <c r="I10" s="62" t="n"/>
      <c r="J10" s="63" t="n"/>
    </row>
    <row r="11" ht="15" customHeight="1" s="143">
      <c r="A11" s="60" t="inlineStr">
        <is>
          <t>1030 · Allowance for Doubtful Accounts</t>
        </is>
      </c>
      <c r="B11" s="10">
        <f>' Balance Sheet'!B11</f>
        <v/>
      </c>
      <c r="C11" t="n">
        <v>0</v>
      </c>
      <c r="D11" s="61">
        <f>B11+C11</f>
        <v/>
      </c>
      <c r="E11" s="61" t="n"/>
      <c r="F11" s="61">
        <f>D11</f>
        <v/>
      </c>
      <c r="G11" s="62" t="inlineStr">
        <is>
          <t>Sch L, Ln 5b</t>
        </is>
      </c>
      <c r="H11" s="61" t="n"/>
      <c r="I11" s="62" t="n"/>
      <c r="J11" s="63" t="n"/>
    </row>
    <row r="12" ht="15" customHeight="1" s="143">
      <c r="A12" s="60" t="inlineStr">
        <is>
          <t>1040 · Prepaid Expenses</t>
        </is>
      </c>
      <c r="B12" s="10">
        <f>' Balance Sheet'!B12</f>
        <v/>
      </c>
      <c r="C12" t="n">
        <v>0</v>
      </c>
      <c r="D12" s="61">
        <f>B12+C12</f>
        <v/>
      </c>
      <c r="E12" s="61" t="n"/>
      <c r="F12" s="61">
        <f>D12</f>
        <v/>
      </c>
      <c r="G12" s="62" t="inlineStr">
        <is>
          <t>Sch L, Ln 6</t>
        </is>
      </c>
      <c r="H12" s="61" t="n"/>
      <c r="I12" s="62" t="n"/>
      <c r="J12" s="63" t="n"/>
    </row>
    <row r="13" ht="15" customHeight="1" s="143">
      <c r="A13" s="60" t="inlineStr">
        <is>
          <t>1050 · Employee Advances</t>
        </is>
      </c>
      <c r="B13" s="10">
        <f>' Balance Sheet'!B13</f>
        <v/>
      </c>
      <c r="C13" t="n">
        <v>0</v>
      </c>
      <c r="D13" s="61">
        <f>B13+C13</f>
        <v/>
      </c>
      <c r="E13" s="61" t="n"/>
      <c r="F13" s="61">
        <f>D13</f>
        <v/>
      </c>
      <c r="G13" s="62" t="inlineStr">
        <is>
          <t>Sch L, Ln 6</t>
        </is>
      </c>
      <c r="H13" s="61" t="n"/>
      <c r="I13" s="62" t="n"/>
      <c r="J13" s="63" t="n"/>
    </row>
    <row r="14" ht="15" customHeight="1" s="143">
      <c r="A14" s="60" t="inlineStr">
        <is>
          <t>1060 · Inventory</t>
        </is>
      </c>
      <c r="B14" s="10">
        <f>' Balance Sheet'!B14</f>
        <v/>
      </c>
      <c r="C14" t="n">
        <v>0</v>
      </c>
      <c r="D14" s="61">
        <f>B14+C14</f>
        <v/>
      </c>
      <c r="E14" s="61" t="n"/>
      <c r="F14" s="61">
        <f>D14</f>
        <v/>
      </c>
      <c r="G14" s="62" t="inlineStr">
        <is>
          <t>Sch L, Ln 7</t>
        </is>
      </c>
      <c r="H14" s="61" t="n"/>
      <c r="I14" s="62" t="n"/>
      <c r="J14" s="63" t="n"/>
    </row>
    <row r="15" ht="15" customHeight="1" s="143">
      <c r="A15" s="242" t="inlineStr">
        <is>
          <t>Total Current Assets</t>
        </is>
      </c>
      <c r="B15" s="243">
        <f>SUM(B8:B14)</f>
        <v/>
      </c>
      <c r="C15" s="243">
        <f>SUM(C8:C14)</f>
        <v/>
      </c>
      <c r="D15" s="202">
        <f>SUM(D8:D14)</f>
        <v/>
      </c>
      <c r="E15" s="32" t="n"/>
      <c r="F15" s="202">
        <f>SUM(F8:F14)</f>
        <v/>
      </c>
      <c r="G15" s="244" t="inlineStr">
        <is>
          <t>Sch L, Ln 1-7</t>
        </is>
      </c>
      <c r="H15" s="202">
        <f>SUM(H8:H14)</f>
        <v/>
      </c>
      <c r="I15" s="64" t="n"/>
      <c r="J15" s="64" t="n"/>
    </row>
    <row r="16" ht="15" customHeight="1" s="143"/>
    <row r="17" ht="15" customHeight="1" s="143">
      <c r="A17" s="60" t="inlineStr">
        <is>
          <t>1100 · Brokerage Account</t>
        </is>
      </c>
      <c r="B17" s="10">
        <f>' Balance Sheet'!B18</f>
        <v/>
      </c>
      <c r="C17" t="n">
        <v>0</v>
      </c>
      <c r="D17" s="61">
        <f>B17+C17</f>
        <v/>
      </c>
      <c r="E17" s="61" t="n"/>
      <c r="F17" s="61">
        <f>D17</f>
        <v/>
      </c>
      <c r="G17" s="62" t="inlineStr">
        <is>
          <t>Sch L, Ln 8</t>
        </is>
      </c>
      <c r="H17" s="61" t="n"/>
      <c r="I17" s="62" t="n"/>
      <c r="J17" s="63" t="inlineStr">
        <is>
          <t>Book FMV — may differ from tax basis if unrealized gains.</t>
        </is>
      </c>
    </row>
    <row r="18" ht="15" customHeight="1" s="143">
      <c r="A18" s="60" t="inlineStr">
        <is>
          <t>1110 · Municipal Bond Portfolio</t>
        </is>
      </c>
      <c r="B18" s="10">
        <f>' Balance Sheet'!B19</f>
        <v/>
      </c>
      <c r="C18" t="n">
        <v>0</v>
      </c>
      <c r="D18" s="61">
        <f>B18+C18</f>
        <v/>
      </c>
      <c r="E18" s="61" t="n"/>
      <c r="F18" s="61">
        <f>D18</f>
        <v/>
      </c>
      <c r="G18" s="62" t="inlineStr">
        <is>
          <t>Sch L, Ln 8</t>
        </is>
      </c>
      <c r="H18" s="61" t="n"/>
      <c r="I18" s="62" t="n"/>
      <c r="J18" s="63" t="inlineStr">
        <is>
          <t>Tax-exempt bonds — interest flows to Sch K Ln 16a.</t>
        </is>
      </c>
    </row>
    <row r="19" ht="15" customHeight="1" s="143">
      <c r="A19" s="242" t="inlineStr">
        <is>
          <t>Total Investments</t>
        </is>
      </c>
      <c r="B19" s="243">
        <f>SUM(B17:B18)</f>
        <v/>
      </c>
      <c r="C19" s="243">
        <f>SUM(C17:C18)</f>
        <v/>
      </c>
      <c r="D19" s="202">
        <f>SUM(D17:D18)</f>
        <v/>
      </c>
      <c r="E19" s="32" t="n"/>
      <c r="F19" s="202">
        <f>SUM(F17:F18)</f>
        <v/>
      </c>
      <c r="G19" s="244" t="inlineStr">
        <is>
          <t>Sch L, Ln 8</t>
        </is>
      </c>
      <c r="H19" s="202">
        <f>SUM(H17:H18)</f>
        <v/>
      </c>
      <c r="I19" s="64" t="n"/>
      <c r="J19" s="64" t="n"/>
    </row>
    <row r="20" ht="15" customHeight="1" s="143"/>
    <row r="21" ht="15" customHeight="1" s="143">
      <c r="A21" s="60" t="inlineStr">
        <is>
          <t>1200 · FF&amp;E (Cost)</t>
        </is>
      </c>
      <c r="B21" s="10">
        <f>' Balance Sheet'!B23</f>
        <v/>
      </c>
      <c r="C21" t="n">
        <v>0</v>
      </c>
      <c r="D21" s="61">
        <f>B21+C21</f>
        <v/>
      </c>
      <c r="E21" s="61" t="n"/>
      <c r="F21" s="61">
        <f>D21</f>
        <v/>
      </c>
      <c r="G21" s="62" t="inlineStr">
        <is>
          <t>Sch L, Ln 10a</t>
        </is>
      </c>
      <c r="H21" s="61" t="n"/>
      <c r="I21" s="62" t="n"/>
      <c r="J21" s="63" t="n"/>
    </row>
    <row r="22" ht="15" customHeight="1" s="143">
      <c r="A22" s="60" t="inlineStr">
        <is>
          <t>1201 · Accum Depr - FF&amp;E</t>
        </is>
      </c>
      <c r="B22" s="10">
        <f>' Balance Sheet'!B24</f>
        <v/>
      </c>
      <c r="C22" t="n">
        <v>0</v>
      </c>
      <c r="D22" s="61">
        <f>B22+C22</f>
        <v/>
      </c>
      <c r="E22" s="61" t="n"/>
      <c r="F22" s="61">
        <f>D22</f>
        <v/>
      </c>
      <c r="G22" s="62" t="inlineStr">
        <is>
          <t>Sch L, Ln 10b</t>
        </is>
      </c>
      <c r="H22" s="61" t="n"/>
      <c r="I22" s="62" t="n"/>
      <c r="J22" s="63" t="inlineStr">
        <is>
          <t>Book accum depr — tax accum depr may differ (MACRS)</t>
        </is>
      </c>
    </row>
    <row r="23" ht="15" customHeight="1" s="143">
      <c r="A23" s="60" t="inlineStr">
        <is>
          <t>1210 · Computer Equipment (Cost)</t>
        </is>
      </c>
      <c r="B23" s="10">
        <f>' Balance Sheet'!B25</f>
        <v/>
      </c>
      <c r="C23" t="n">
        <v>0</v>
      </c>
      <c r="D23" s="61">
        <f>B23+C23</f>
        <v/>
      </c>
      <c r="E23" s="61" t="n"/>
      <c r="F23" s="61">
        <f>D23</f>
        <v/>
      </c>
      <c r="G23" s="62" t="inlineStr">
        <is>
          <t>Sch L, Ln 10a</t>
        </is>
      </c>
      <c r="H23" s="61" t="n"/>
      <c r="I23" s="62" t="n"/>
      <c r="J23" s="63" t="n"/>
    </row>
    <row r="24" ht="15" customHeight="1" s="143">
      <c r="A24" s="60" t="inlineStr">
        <is>
          <t>1211 · Accum Depr - Computers</t>
        </is>
      </c>
      <c r="B24" s="10">
        <f>' Balance Sheet'!B26</f>
        <v/>
      </c>
      <c r="C24" t="n">
        <v>0</v>
      </c>
      <c r="D24" s="61">
        <f>B24+C24</f>
        <v/>
      </c>
      <c r="E24" s="61" t="n"/>
      <c r="F24" s="61">
        <f>D24</f>
        <v/>
      </c>
      <c r="G24" s="62" t="inlineStr">
        <is>
          <t>Sch L, Ln 10b</t>
        </is>
      </c>
      <c r="H24" s="61" t="n"/>
      <c r="I24" s="62" t="n"/>
      <c r="J24" s="63" t="n"/>
    </row>
    <row r="25" ht="15" customHeight="1" s="143">
      <c r="A25" s="60" t="inlineStr">
        <is>
          <t>1220 · Leasehold Improvements (Cost)</t>
        </is>
      </c>
      <c r="B25" s="10">
        <f>' Balance Sheet'!B27</f>
        <v/>
      </c>
      <c r="C25" t="n">
        <v>0</v>
      </c>
      <c r="D25" s="61">
        <f>B25+C25</f>
        <v/>
      </c>
      <c r="E25" s="61" t="n"/>
      <c r="F25" s="61">
        <f>D25</f>
        <v/>
      </c>
      <c r="G25" s="62" t="inlineStr">
        <is>
          <t>Sch L, Ln 10a</t>
        </is>
      </c>
      <c r="H25" s="61" t="n"/>
      <c r="I25" s="62" t="n"/>
      <c r="J25" s="63" t="n"/>
    </row>
    <row r="26" ht="15" customHeight="1" s="143">
      <c r="A26" s="60" t="inlineStr">
        <is>
          <t>1221 · Accum Depr - LHI</t>
        </is>
      </c>
      <c r="B26" s="10">
        <f>' Balance Sheet'!B28</f>
        <v/>
      </c>
      <c r="C26" t="n">
        <v>0</v>
      </c>
      <c r="D26" s="61">
        <f>B26+C26</f>
        <v/>
      </c>
      <c r="E26" s="61" t="n"/>
      <c r="F26" s="61">
        <f>D26</f>
        <v/>
      </c>
      <c r="G26" s="62" t="inlineStr">
        <is>
          <t>Sch L, Ln 10b</t>
        </is>
      </c>
      <c r="H26" s="61" t="n"/>
      <c r="I26" s="62" t="n"/>
      <c r="J26" s="63" t="n"/>
    </row>
    <row r="27" ht="15" customHeight="1" s="143">
      <c r="A27" s="60" t="inlineStr">
        <is>
          <t>1230 · Vehicles (Cost)</t>
        </is>
      </c>
      <c r="B27" s="10">
        <f>' Balance Sheet'!B29</f>
        <v/>
      </c>
      <c r="C27" t="n">
        <v>0</v>
      </c>
      <c r="D27" s="61">
        <f>B27+C27</f>
        <v/>
      </c>
      <c r="E27" s="61" t="n"/>
      <c r="F27" s="61">
        <f>D27</f>
        <v/>
      </c>
      <c r="G27" s="62" t="inlineStr">
        <is>
          <t>Sch L, Ln 10a</t>
        </is>
      </c>
      <c r="H27" s="61" t="n"/>
      <c r="I27" s="62" t="n"/>
      <c r="J27" s="63" t="n"/>
    </row>
    <row r="28" ht="15" customHeight="1" s="143">
      <c r="A28" s="60" t="inlineStr">
        <is>
          <t>1231 · Accum Depr - Vehicles</t>
        </is>
      </c>
      <c r="B28" s="10">
        <f>' Balance Sheet'!B30</f>
        <v/>
      </c>
      <c r="C28" t="n">
        <v>0</v>
      </c>
      <c r="D28" s="61">
        <f>B28+C28</f>
        <v/>
      </c>
      <c r="E28" s="61" t="n"/>
      <c r="F28" s="61">
        <f>D28</f>
        <v/>
      </c>
      <c r="G28" s="62" t="inlineStr">
        <is>
          <t>Sch L, Ln 10b</t>
        </is>
      </c>
      <c r="H28" s="61" t="n"/>
      <c r="I28" s="62" t="n"/>
      <c r="J28" s="63" t="inlineStr">
        <is>
          <t>Listed property — verify &gt;50% business use.</t>
        </is>
      </c>
    </row>
    <row r="29" ht="15" customHeight="1" s="143">
      <c r="A29" s="242" t="inlineStr">
        <is>
          <t>Total Fixed Assets (Net)</t>
        </is>
      </c>
      <c r="B29" s="243">
        <f>SUM(B21:B28)</f>
        <v/>
      </c>
      <c r="C29" s="243">
        <f>SUM(C21:C28)</f>
        <v/>
      </c>
      <c r="D29" s="202">
        <f>SUM(D21:D28)</f>
        <v/>
      </c>
      <c r="E29" s="32" t="n"/>
      <c r="F29" s="202">
        <f>SUM(F21:F28)</f>
        <v/>
      </c>
      <c r="G29" s="244" t="inlineStr">
        <is>
          <t>Sch L, Ln 10c</t>
        </is>
      </c>
      <c r="H29" s="202">
        <f>SUM(H21:H28)</f>
        <v/>
      </c>
      <c r="I29" s="64" t="n"/>
      <c r="J29" s="64" t="n"/>
    </row>
    <row r="30" ht="15" customHeight="1" s="143"/>
    <row r="31" ht="15" customHeight="1" s="143">
      <c r="A31" s="60" t="inlineStr">
        <is>
          <t>1300 · Security Deposits</t>
        </is>
      </c>
      <c r="B31" s="10">
        <f>' Balance Sheet'!B34</f>
        <v/>
      </c>
      <c r="C31" t="n">
        <v>0</v>
      </c>
      <c r="D31" s="61">
        <f>B31+C31</f>
        <v/>
      </c>
      <c r="E31" s="61" t="n"/>
      <c r="F31" s="61">
        <f>D31</f>
        <v/>
      </c>
      <c r="G31" s="62" t="inlineStr">
        <is>
          <t>Sch L, Ln 13</t>
        </is>
      </c>
      <c r="H31" s="61" t="n"/>
      <c r="I31" s="62" t="n"/>
      <c r="J31" s="63" t="n"/>
    </row>
    <row r="32" ht="15" customHeight="1" s="143">
      <c r="A32" s="60" t="inlineStr">
        <is>
          <t>1310 · Organizational Costs (Net)</t>
        </is>
      </c>
      <c r="B32" s="10">
        <f>' Balance Sheet'!B35</f>
        <v/>
      </c>
      <c r="C32" t="n">
        <v>0</v>
      </c>
      <c r="D32" s="61">
        <f>B32+C32</f>
        <v/>
      </c>
      <c r="E32" s="61" t="n"/>
      <c r="F32" s="61">
        <f>D32</f>
        <v/>
      </c>
      <c r="G32" s="62" t="inlineStr">
        <is>
          <t>Sch L, Ln 13</t>
        </is>
      </c>
      <c r="H32" s="61" t="n"/>
      <c r="I32" s="62" t="n"/>
      <c r="J32" s="63" t="inlineStr">
        <is>
          <t>§248 amortization. Verify remaining balance.</t>
        </is>
      </c>
    </row>
    <row r="33" ht="15" customHeight="1" s="143">
      <c r="A33" s="242" t="inlineStr">
        <is>
          <t>Total Other Assets</t>
        </is>
      </c>
      <c r="B33" s="243">
        <f>SUM(B31:B32)</f>
        <v/>
      </c>
      <c r="C33" s="243">
        <f>SUM(C31:C32)</f>
        <v/>
      </c>
      <c r="D33" s="202">
        <f>SUM(D31:D32)</f>
        <v/>
      </c>
      <c r="E33" s="32" t="n"/>
      <c r="F33" s="202">
        <f>SUM(F31:F32)</f>
        <v/>
      </c>
      <c r="G33" s="244" t="inlineStr">
        <is>
          <t>Sch L, Ln 13</t>
        </is>
      </c>
      <c r="H33" s="202">
        <f>SUM(H31:H32)</f>
        <v/>
      </c>
      <c r="I33" s="64" t="n"/>
      <c r="J33" s="64" t="n"/>
    </row>
    <row r="34" ht="15" customHeight="1" s="143"/>
    <row r="35" ht="15" customHeight="1" s="143">
      <c r="A35" s="242" t="inlineStr">
        <is>
          <t>TOTAL ASSETS</t>
        </is>
      </c>
      <c r="B35" s="243">
        <f>B15+B19+B29+B33</f>
        <v/>
      </c>
      <c r="C35" s="243">
        <f>C15+C19+C29+C33</f>
        <v/>
      </c>
      <c r="D35" s="245">
        <f>D15+D19+D29+D33</f>
        <v/>
      </c>
      <c r="E35" s="66" t="n"/>
      <c r="F35" s="245">
        <f>F15+F19+F29+F33</f>
        <v/>
      </c>
      <c r="G35" s="243" t="inlineStr">
        <is>
          <t>Sch L, Ln 15</t>
        </is>
      </c>
      <c r="H35" s="66" t="n"/>
      <c r="I35" s="66" t="n"/>
      <c r="J35" s="66" t="n"/>
    </row>
    <row r="36" ht="15" customHeight="1" s="143"/>
    <row r="37" ht="15" customHeight="1" s="143">
      <c r="A37" s="200" t="inlineStr">
        <is>
          <t>LIABILITIES (from PBC Balance Sheet — Sch L)</t>
        </is>
      </c>
      <c r="D37" s="8" t="n"/>
      <c r="E37" s="8" t="n"/>
      <c r="F37" s="8" t="n"/>
      <c r="G37" s="8" t="n"/>
      <c r="H37" s="8" t="n"/>
      <c r="I37" s="8" t="n"/>
      <c r="J37" s="8" t="n"/>
    </row>
    <row r="38" ht="15" customHeight="1" s="143">
      <c r="A38" s="60" t="inlineStr">
        <is>
          <t>2000 · Accounts Payable</t>
        </is>
      </c>
      <c r="B38" s="10">
        <f>' Balance Sheet'!B42</f>
        <v/>
      </c>
      <c r="C38" t="n">
        <v>0</v>
      </c>
      <c r="D38" s="61">
        <f>B38+C38</f>
        <v/>
      </c>
      <c r="E38" s="61" t="n"/>
      <c r="F38" s="61">
        <f>D38</f>
        <v/>
      </c>
      <c r="G38" s="62" t="inlineStr">
        <is>
          <t>Sch L, Ln 16</t>
        </is>
      </c>
      <c r="H38" s="61" t="n"/>
      <c r="I38" s="62" t="n"/>
      <c r="J38" s="63" t="n"/>
    </row>
    <row r="39" ht="15" customHeight="1" s="143">
      <c r="A39" s="60" t="inlineStr">
        <is>
          <t>2010 · Accrued Expenses</t>
        </is>
      </c>
      <c r="B39" s="10">
        <f>' Balance Sheet'!B43</f>
        <v/>
      </c>
      <c r="C39" t="n">
        <v>0</v>
      </c>
      <c r="D39" s="61">
        <f>B39+C39</f>
        <v/>
      </c>
      <c r="E39" s="61" t="n"/>
      <c r="F39" s="61">
        <f>D39</f>
        <v/>
      </c>
      <c r="G39" s="62" t="inlineStr">
        <is>
          <t>Sch L, Ln 18</t>
        </is>
      </c>
      <c r="H39" s="61" t="n"/>
      <c r="I39" s="62" t="n"/>
      <c r="J39" s="63" t="n"/>
    </row>
    <row r="40" ht="15" customHeight="1" s="143">
      <c r="A40" s="60" t="inlineStr">
        <is>
          <t>2020 · Payroll Liabilities</t>
        </is>
      </c>
      <c r="B40" s="10">
        <f>' Balance Sheet'!B44</f>
        <v/>
      </c>
      <c r="C40" t="n">
        <v>0</v>
      </c>
      <c r="D40" s="61">
        <f>B40+C40</f>
        <v/>
      </c>
      <c r="E40" s="61" t="n"/>
      <c r="F40" s="61">
        <f>D40</f>
        <v/>
      </c>
      <c r="G40" s="62" t="inlineStr">
        <is>
          <t>Sch L, Ln 18</t>
        </is>
      </c>
      <c r="H40" s="61" t="n"/>
      <c r="I40" s="62" t="n"/>
      <c r="J40" s="63" t="n"/>
    </row>
    <row r="41" ht="15" customHeight="1" s="143">
      <c r="A41" s="60" t="inlineStr">
        <is>
          <t>2030 · Credit Card Payable</t>
        </is>
      </c>
      <c r="B41" s="10">
        <f>' Balance Sheet'!B45</f>
        <v/>
      </c>
      <c r="C41" t="n">
        <v>0</v>
      </c>
      <c r="D41" s="61">
        <f>B41+C41</f>
        <v/>
      </c>
      <c r="E41" s="61" t="n"/>
      <c r="F41" s="61">
        <f>D41</f>
        <v/>
      </c>
      <c r="G41" s="62" t="inlineStr">
        <is>
          <t>Sch L, Ln 18</t>
        </is>
      </c>
      <c r="H41" s="61" t="n"/>
      <c r="I41" s="62" t="n"/>
      <c r="J41" s="63" t="n"/>
    </row>
    <row r="42" ht="15" customHeight="1" s="143">
      <c r="A42" s="60" t="inlineStr">
        <is>
          <t>2040 · Sales Tax Payable</t>
        </is>
      </c>
      <c r="B42" s="10">
        <f>' Balance Sheet'!B46</f>
        <v/>
      </c>
      <c r="C42" t="n">
        <v>0</v>
      </c>
      <c r="D42" s="61">
        <f>B42+C42</f>
        <v/>
      </c>
      <c r="E42" s="61" t="n"/>
      <c r="F42" s="61">
        <f>D42</f>
        <v/>
      </c>
      <c r="G42" s="62" t="inlineStr">
        <is>
          <t>Sch L, Ln 18</t>
        </is>
      </c>
      <c r="H42" s="61" t="n"/>
      <c r="I42" s="62" t="n"/>
      <c r="J42" s="63" t="n"/>
    </row>
    <row r="43" ht="15" customHeight="1" s="143">
      <c r="A43" s="60" t="inlineStr">
        <is>
          <t>2050 · Current Portion - Vehicle Loan</t>
        </is>
      </c>
      <c r="B43" s="10">
        <f>' Balance Sheet'!B47</f>
        <v/>
      </c>
      <c r="C43" t="n">
        <v>0</v>
      </c>
      <c r="D43" s="61">
        <f>B43+C43</f>
        <v/>
      </c>
      <c r="E43" s="61" t="n"/>
      <c r="F43" s="61">
        <f>D43</f>
        <v/>
      </c>
      <c r="G43" s="62" t="inlineStr">
        <is>
          <t>Sch L, Ln 17</t>
        </is>
      </c>
      <c r="H43" s="61" t="n"/>
      <c r="I43" s="62" t="n"/>
      <c r="J43" s="63" t="n"/>
    </row>
    <row r="44" ht="15" customHeight="1" s="143">
      <c r="A44" s="246" t="inlineStr">
        <is>
          <t>Other liabilities</t>
        </is>
      </c>
      <c r="B44" s="10">
        <f>' Balance Sheet'!B51</f>
        <v/>
      </c>
      <c r="C44" s="195" t="n"/>
      <c r="D44" s="61">
        <f>B44+C44</f>
        <v/>
      </c>
      <c r="E44" s="61" t="n"/>
      <c r="F44" s="61">
        <f>D44</f>
        <v/>
      </c>
      <c r="G44" s="62" t="inlineStr">
        <is>
          <t>Sch L, Ln 19</t>
        </is>
      </c>
      <c r="H44" s="61" t="n"/>
      <c r="I44" s="62" t="n"/>
      <c r="J44" s="63" t="inlineStr">
        <is>
          <t>Check §163(j) interest limitation.</t>
        </is>
      </c>
    </row>
    <row r="45" ht="15" customHeight="1" s="143">
      <c r="A45" s="60" t="inlineStr">
        <is>
          <t>2110 · Vehicle Loan (Net of Current)</t>
        </is>
      </c>
      <c r="B45" s="10">
        <f>' Balance Sheet'!B52</f>
        <v/>
      </c>
      <c r="C45" t="n">
        <v>0</v>
      </c>
      <c r="D45" s="61">
        <f>B45+C45</f>
        <v/>
      </c>
      <c r="E45" s="61" t="n"/>
      <c r="F45" s="61">
        <f>D45</f>
        <v/>
      </c>
      <c r="G45" s="62" t="inlineStr">
        <is>
          <t>Sch L, Ln 19</t>
        </is>
      </c>
      <c r="H45" s="61" t="n"/>
      <c r="I45" s="62" t="n"/>
      <c r="J45" s="63" t="n"/>
    </row>
    <row r="46" ht="15" customHeight="1" s="143">
      <c r="A46" s="60" t="inlineStr">
        <is>
          <t>2120 · Shareholder Loan - Principal Shareholder</t>
        </is>
      </c>
      <c r="B46" s="10">
        <f>' Balance Sheet'!B53</f>
        <v/>
      </c>
      <c r="C46" t="n">
        <v>0</v>
      </c>
      <c r="D46" s="61">
        <f>B46+C46</f>
        <v/>
      </c>
      <c r="E46" s="61" t="n"/>
      <c r="F46" s="61">
        <f>D46</f>
        <v/>
      </c>
      <c r="G46" s="62" t="inlineStr">
        <is>
          <t>Sch L, Ln 19</t>
        </is>
      </c>
      <c r="H46" s="61" t="n"/>
      <c r="I46" s="62" t="n"/>
      <c r="J46" s="63" t="inlineStr">
        <is>
          <t>Debt basis for loss limitation. Document loan terms.</t>
        </is>
      </c>
    </row>
    <row r="47" ht="15" customHeight="1" s="143">
      <c r="A47" s="242" t="inlineStr">
        <is>
          <t>TOTAL LIABILITIES</t>
        </is>
      </c>
      <c r="B47" s="243">
        <f>SUM(B38:B46)</f>
        <v/>
      </c>
      <c r="C47" s="243">
        <f>SUM(C38:C46)</f>
        <v/>
      </c>
      <c r="D47" s="202">
        <f>SUM(D38:D46)</f>
        <v/>
      </c>
      <c r="E47" s="32" t="n"/>
      <c r="F47" s="202">
        <f>SUM(F38:F46)</f>
        <v/>
      </c>
      <c r="G47" s="244" t="inlineStr">
        <is>
          <t>Sch L, Ln 20</t>
        </is>
      </c>
      <c r="H47" s="202">
        <f>SUM(H38:H46)</f>
        <v/>
      </c>
      <c r="I47" s="64" t="n"/>
      <c r="J47" s="64" t="n"/>
    </row>
    <row r="48" ht="15" customHeight="1" s="143"/>
    <row r="49" ht="15" customHeight="1" s="143">
      <c r="A49" s="200" t="inlineStr">
        <is>
          <t>EQUITY (from PBC Balance Sheet — Sch L)</t>
        </is>
      </c>
      <c r="D49" s="8" t="n"/>
      <c r="E49" s="8" t="n"/>
      <c r="F49" s="8" t="n"/>
      <c r="G49" s="8" t="n"/>
      <c r="H49" s="8" t="n"/>
      <c r="I49" s="8" t="n"/>
      <c r="J49" s="8" t="n"/>
    </row>
    <row r="50" ht="15" customHeight="1" s="143">
      <c r="A50" s="60" t="inlineStr">
        <is>
          <t>3000 · Common Stock</t>
        </is>
      </c>
      <c r="B50" s="10">
        <f>' Balance Sheet'!B59</f>
        <v/>
      </c>
      <c r="C50" t="n">
        <v>0</v>
      </c>
      <c r="D50" s="61">
        <f>B50+C50</f>
        <v/>
      </c>
      <c r="E50" s="61" t="n"/>
      <c r="F50" s="61">
        <f>D50</f>
        <v/>
      </c>
      <c r="G50" s="62" t="inlineStr">
        <is>
          <t>Sch L, Ln 22a</t>
        </is>
      </c>
      <c r="H50" s="61" t="n"/>
      <c r="I50" s="62" t="n"/>
      <c r="J50" s="63" t="n"/>
    </row>
    <row r="51" ht="15" customHeight="1" s="143">
      <c r="A51" s="60" t="inlineStr">
        <is>
          <t>3010 · Additional Paid-In Capital</t>
        </is>
      </c>
      <c r="B51" s="10">
        <f>' Balance Sheet'!B60</f>
        <v/>
      </c>
      <c r="C51" t="n">
        <v>0</v>
      </c>
      <c r="D51" s="61">
        <f>B51+C51</f>
        <v/>
      </c>
      <c r="E51" s="61" t="n"/>
      <c r="F51" s="61">
        <f>D51</f>
        <v/>
      </c>
      <c r="G51" s="62" t="inlineStr">
        <is>
          <t>Sch L, Ln 23</t>
        </is>
      </c>
      <c r="H51" s="61" t="n"/>
      <c r="I51" s="62" t="n"/>
      <c r="J51" s="63" t="n"/>
    </row>
    <row r="52" ht="15" customHeight="1" s="143">
      <c r="A52" s="60" t="inlineStr">
        <is>
          <t>3020 · Retained Earnings (Prior Years)</t>
        </is>
      </c>
      <c r="B52" s="10">
        <f>' Balance Sheet'!B61</f>
        <v/>
      </c>
      <c r="C52" t="n">
        <v>0</v>
      </c>
      <c r="D52" s="61">
        <f>B52+C52</f>
        <v/>
      </c>
      <c r="E52" s="61" t="n"/>
      <c r="F52" s="61">
        <f>D52</f>
        <v/>
      </c>
      <c r="G52" s="62" t="inlineStr">
        <is>
          <t>Sch L, Ln 24</t>
        </is>
      </c>
      <c r="H52" s="61" t="n"/>
      <c r="I52" s="62" t="n"/>
      <c r="J52" s="63" t="inlineStr">
        <is>
          <t>Book-basis RE. Includes cumulative book-tax diffs.</t>
        </is>
      </c>
    </row>
    <row r="53" ht="15" customHeight="1" s="143">
      <c r="A53" s="67" t="inlineStr">
        <is>
          <t>3030 · Distributions - Principal Shareholder (100%)</t>
        </is>
      </c>
      <c r="B53" s="10">
        <f>' Balance Sheet'!B62</f>
        <v/>
      </c>
      <c r="C53" t="n">
        <v>0</v>
      </c>
      <c r="D53" s="61">
        <f>B53+C53</f>
        <v/>
      </c>
      <c r="E53" s="61" t="n"/>
      <c r="F53" s="61">
        <f>D53</f>
        <v/>
      </c>
      <c r="G53" s="68" t="inlineStr">
        <is>
          <t>M-2 / Sch K Ln 16d</t>
        </is>
      </c>
      <c r="H53" s="61" t="n"/>
      <c r="I53" s="68" t="n"/>
      <c r="J53" s="69" t="inlineStr">
        <is>
          <t>Reduces AAA → OAA → basis.</t>
        </is>
      </c>
    </row>
    <row r="54" ht="15" customHeight="1" s="143">
      <c r="A54" s="67" t="inlineStr">
        <is>
          <t>3031 · Distributions - — (N/A)</t>
        </is>
      </c>
      <c r="B54" s="10">
        <f>' Balance Sheet'!B63</f>
        <v/>
      </c>
      <c r="C54" t="n">
        <v>0</v>
      </c>
      <c r="D54" s="61">
        <f>B54+C54</f>
        <v/>
      </c>
      <c r="E54" s="61" t="n"/>
      <c r="F54" s="61">
        <f>D54</f>
        <v/>
      </c>
      <c r="G54" s="68" t="inlineStr">
        <is>
          <t>M-2 / Sch K Ln 16d</t>
        </is>
      </c>
      <c r="H54" s="61" t="n"/>
      <c r="I54" s="68" t="n"/>
      <c r="J54" s="69" t="inlineStr">
        <is>
          <t>Same ordering rules.</t>
        </is>
      </c>
    </row>
    <row r="55" ht="15" customHeight="1" s="143">
      <c r="A55" s="60" t="inlineStr">
        <is>
          <t>3100 · Net Income (Current Year)</t>
        </is>
      </c>
      <c r="B55" s="10">
        <f>'P&amp;L'!B63</f>
        <v/>
      </c>
      <c r="C55" t="n">
        <v>0</v>
      </c>
      <c r="D55" s="61">
        <f>B55+C55</f>
        <v/>
      </c>
      <c r="E55" s="61" t="n"/>
      <c r="F55" s="61">
        <f>D55</f>
        <v/>
      </c>
      <c r="G55" s="62" t="inlineStr">
        <is>
          <t>Sch L, Ln 24</t>
        </is>
      </c>
      <c r="H55" s="61" t="n"/>
      <c r="I55" s="62" t="n"/>
      <c r="J55" s="63" t="inlineStr">
        <is>
          <t>Ties to P&amp;L net income.</t>
        </is>
      </c>
    </row>
    <row r="56" ht="15" customHeight="1" s="143">
      <c r="A56" s="242" t="inlineStr">
        <is>
          <t>TOTAL EQUITY</t>
        </is>
      </c>
      <c r="B56" s="243">
        <f>SUM(B50:B55)</f>
        <v/>
      </c>
      <c r="C56" s="243">
        <f>SUM(C50:C55)</f>
        <v/>
      </c>
      <c r="D56" s="202">
        <f>SUM(D50:D55)</f>
        <v/>
      </c>
      <c r="E56" s="32" t="n"/>
      <c r="F56" s="202">
        <f>SUM(F50:F55)</f>
        <v/>
      </c>
      <c r="G56" s="244" t="inlineStr">
        <is>
          <t>Sch L, Ln 25</t>
        </is>
      </c>
      <c r="H56" s="202">
        <f>SUM(H50:H55)</f>
        <v/>
      </c>
      <c r="I56" s="64" t="n"/>
      <c r="J56" s="64" t="n"/>
    </row>
    <row r="57" ht="15" customHeight="1" s="143"/>
    <row r="58" ht="15" customHeight="1" s="143">
      <c r="A58" s="242" t="inlineStr">
        <is>
          <t>TOTAL LIABILITIES &amp; EQUITY</t>
        </is>
      </c>
      <c r="B58" s="243">
        <f>B47+B56</f>
        <v/>
      </c>
      <c r="C58" s="243">
        <f>C47+C56</f>
        <v/>
      </c>
      <c r="D58" s="245">
        <f>D47+D56</f>
        <v/>
      </c>
      <c r="E58" s="66" t="n"/>
      <c r="F58" s="245">
        <f>F47+F56</f>
        <v/>
      </c>
      <c r="G58" s="66" t="n"/>
      <c r="H58" s="66" t="n"/>
      <c r="I58" s="66" t="n"/>
      <c r="J58" s="66" t="n"/>
    </row>
    <row r="59" ht="15" customHeight="1" s="143">
      <c r="A59" s="201" t="inlineStr">
        <is>
          <t>CHECK: Total Assets − Total L&amp;E (should be zero)</t>
        </is>
      </c>
      <c r="B59" s="243">
        <f>B35-B58</f>
        <v/>
      </c>
      <c r="C59" s="243">
        <f>C35-C58</f>
        <v/>
      </c>
      <c r="D59" s="247">
        <f>D35-D58</f>
        <v/>
      </c>
      <c r="F59" s="243">
        <f>F35-F58</f>
        <v/>
      </c>
    </row>
    <row r="60" ht="15" customHeight="1" s="143"/>
    <row r="61" ht="15" customHeight="1" s="143"/>
    <row r="62" ht="15" customHeight="1" s="143">
      <c r="A62" s="248" t="inlineStr">
        <is>
          <t>INCOME STATEMENT — BOOK-TO-TAX ADJUSTMENTS</t>
        </is>
      </c>
    </row>
    <row r="63" ht="15" customHeight="1" s="143">
      <c r="A63" s="200" t="inlineStr">
        <is>
          <t>INCOME</t>
        </is>
      </c>
      <c r="D63" s="8" t="n"/>
      <c r="E63" s="8" t="n"/>
      <c r="F63" s="8" t="n"/>
      <c r="G63" s="8" t="n"/>
      <c r="H63" s="8" t="n"/>
      <c r="I63" s="8" t="n"/>
      <c r="J63" s="8" t="n"/>
    </row>
    <row r="64" ht="15" customHeight="1" s="143">
      <c r="A64" s="249" t="inlineStr">
        <is>
          <t>Gross Receipts - Consulting</t>
        </is>
      </c>
      <c r="B64" s="250">
        <f>'P&amp;L'!B7</f>
        <v/>
      </c>
      <c r="C64" s="243" t="n">
        <v>0</v>
      </c>
      <c r="D64" s="251">
        <f>B64+C64</f>
        <v/>
      </c>
      <c r="E64" s="61" t="n"/>
      <c r="F64" s="251">
        <f>D64+E64</f>
        <v/>
      </c>
      <c r="G64" s="252" t="inlineStr">
        <is>
          <t>Pg 1, Line 1a</t>
        </is>
      </c>
      <c r="H64" s="61" t="n"/>
      <c r="I64" s="62" t="n"/>
      <c r="J64" s="63" t="n"/>
    </row>
    <row r="65" ht="15" customHeight="1" s="143">
      <c r="A65" s="249" t="inlineStr">
        <is>
          <t>Gross Receipts - Software Licensing</t>
        </is>
      </c>
      <c r="B65" s="250">
        <f>'P&amp;L'!B8</f>
        <v/>
      </c>
      <c r="C65" s="243" t="n">
        <v>0</v>
      </c>
      <c r="D65" s="251">
        <f>B65+C65</f>
        <v/>
      </c>
      <c r="E65" s="61" t="n"/>
      <c r="F65" s="251">
        <f>D65+E65</f>
        <v/>
      </c>
      <c r="G65" s="252" t="inlineStr">
        <is>
          <t>Pg 1, Line 1a</t>
        </is>
      </c>
      <c r="H65" s="61" t="n"/>
      <c r="I65" s="62" t="n"/>
      <c r="J65" s="63" t="n"/>
    </row>
    <row r="66" ht="27.75" customHeight="1" s="143">
      <c r="A66" s="71" t="inlineStr">
        <is>
          <t>Equipment Rental Income</t>
        </is>
      </c>
      <c r="B66" s="10">
        <f>'P&amp;L'!B9</f>
        <v/>
      </c>
      <c r="C66" t="n">
        <v>0</v>
      </c>
      <c r="D66" s="61">
        <f>B66+C66</f>
        <v/>
      </c>
      <c r="E66" s="61">
        <f>-IF('Strategy Inputs'!C7&lt;&gt;"",'Strategy Inputs'!C7,'Strategy Inputs'!D7)</f>
        <v/>
      </c>
      <c r="F66" s="61">
        <f>D66+E66</f>
        <v/>
      </c>
      <c r="G66" s="72" t="inlineStr">
        <is>
          <t>→ Sch K, Ln 3a</t>
        </is>
      </c>
      <c r="H66" s="61" t="n"/>
      <c r="I66" s="72" t="n"/>
      <c r="J66" s="73" t="inlineStr">
        <is>
          <t>SEPARATELY STATED: Rental income reclassed from Page 1 to Schedule K, Line 3a</t>
        </is>
      </c>
    </row>
    <row r="67" ht="15" customHeight="1" s="143">
      <c r="A67" s="60" t="inlineStr">
        <is>
          <t>Returns &amp; Allowances</t>
        </is>
      </c>
      <c r="B67" s="10">
        <f>'P&amp;L'!B10</f>
        <v/>
      </c>
      <c r="C67" t="n">
        <v>0</v>
      </c>
      <c r="D67" s="61">
        <f>B67+C67</f>
        <v/>
      </c>
      <c r="E67" s="61" t="n"/>
      <c r="F67" s="61">
        <f>D67+E67</f>
        <v/>
      </c>
      <c r="G67" s="62" t="inlineStr">
        <is>
          <t>Pg 1, Line 1b</t>
        </is>
      </c>
      <c r="H67" s="61" t="n"/>
      <c r="I67" s="62" t="n"/>
      <c r="J67" s="63" t="n"/>
    </row>
    <row r="68" ht="15" customHeight="1" s="143">
      <c r="A68" s="71" t="inlineStr">
        <is>
          <t>Interest Income → See Other Income section below</t>
        </is>
      </c>
      <c r="D68" s="61" t="n"/>
      <c r="E68" s="61" t="n"/>
      <c r="F68" s="61" t="n"/>
      <c r="G68" s="72" t="n"/>
      <c r="H68" s="61" t="n"/>
      <c r="I68" s="72" t="n"/>
      <c r="J68" s="73" t="n"/>
    </row>
    <row r="69" ht="27.75" customHeight="1" s="143">
      <c r="A69" s="71" t="inlineStr">
        <is>
          <t>Dividend Income → See Other Income section below</t>
        </is>
      </c>
      <c r="D69" s="61" t="n"/>
      <c r="E69" s="61" t="n"/>
      <c r="F69" s="61" t="n"/>
      <c r="G69" s="72" t="n"/>
      <c r="H69" s="61" t="n"/>
      <c r="I69" s="72" t="n"/>
      <c r="J69" s="73" t="n"/>
    </row>
    <row r="70" ht="27.75" customHeight="1" s="143">
      <c r="A70" s="71" t="inlineStr">
        <is>
          <t>Capital Gain / (Loss) → See Other Income section below</t>
        </is>
      </c>
      <c r="D70" s="61" t="n"/>
      <c r="E70" s="61" t="n"/>
      <c r="F70" s="61" t="n"/>
      <c r="G70" s="72" t="n"/>
      <c r="H70" s="61" t="n"/>
      <c r="I70" s="72" t="n"/>
      <c r="J70" s="73" t="n"/>
    </row>
    <row r="71" ht="27.75" customHeight="1" s="143">
      <c r="A71" s="71" t="inlineStr">
        <is>
          <t>Gain on Sale of Equipment → See Other Income section below</t>
        </is>
      </c>
      <c r="D71" s="61" t="n"/>
      <c r="E71" s="61" t="n"/>
      <c r="F71" s="61" t="n"/>
      <c r="G71" s="72" t="n"/>
      <c r="H71" s="61" t="n"/>
      <c r="I71" s="72" t="n"/>
      <c r="J71" s="73" t="n"/>
    </row>
    <row r="72" ht="27.75" customHeight="1" s="143">
      <c r="A72" s="67" t="inlineStr">
        <is>
          <t>Tax-Exempt Interest → See Other Income section below</t>
        </is>
      </c>
      <c r="D72" s="61" t="n"/>
      <c r="E72" s="61" t="n"/>
      <c r="F72" s="61" t="n"/>
      <c r="G72" s="68" t="n"/>
      <c r="H72" s="74" t="n"/>
      <c r="I72" s="68" t="n"/>
      <c r="J72" s="69" t="n"/>
    </row>
    <row r="73" ht="15" customHeight="1" s="143">
      <c r="A73" s="75" t="inlineStr">
        <is>
          <t>Unrealized Gain on Investments → See Other Income section below</t>
        </is>
      </c>
      <c r="D73" s="61" t="n"/>
      <c r="E73" s="61" t="n"/>
      <c r="F73" s="61" t="n"/>
      <c r="G73" s="76" t="n"/>
      <c r="H73" s="74" t="n"/>
      <c r="I73" s="76" t="n"/>
      <c r="J73" s="77" t="n"/>
    </row>
    <row r="74" ht="15" customHeight="1" s="143">
      <c r="A74" s="242" t="inlineStr">
        <is>
          <t>TOTAL INCOME (per WTB)</t>
        </is>
      </c>
      <c r="B74" s="243">
        <f>SUM(B64:B67)</f>
        <v/>
      </c>
      <c r="C74" s="243">
        <f>SUM(C64:C67)</f>
        <v/>
      </c>
      <c r="D74" s="202">
        <f>SUM(D64:D67)</f>
        <v/>
      </c>
      <c r="E74" s="32" t="n"/>
      <c r="F74" s="202">
        <f>SUM(F64:F67)</f>
        <v/>
      </c>
      <c r="G74" s="64" t="n"/>
      <c r="H74" s="202">
        <f>SUM(H64:H73)</f>
        <v/>
      </c>
      <c r="I74" s="64" t="n"/>
      <c r="J74" s="64" t="n"/>
    </row>
    <row r="75" ht="15" customHeight="1" s="143"/>
    <row r="76" ht="15" customHeight="1" s="143">
      <c r="A76" s="200" t="inlineStr">
        <is>
          <t>COST OF GOODS SOLD</t>
        </is>
      </c>
      <c r="D76" s="8" t="n"/>
      <c r="E76" s="8" t="n"/>
      <c r="F76" s="8" t="n"/>
      <c r="G76" s="8" t="n"/>
      <c r="H76" s="8" t="n"/>
      <c r="I76" s="8" t="n"/>
      <c r="J76" s="8" t="n"/>
    </row>
    <row r="77" ht="15" customHeight="1" s="143">
      <c r="A77" s="60" t="inlineStr">
        <is>
          <t>Subcontractor Costs</t>
        </is>
      </c>
      <c r="B77" s="10">
        <f>'P&amp;L'!B13</f>
        <v/>
      </c>
      <c r="C77" t="n">
        <v>0</v>
      </c>
      <c r="D77" s="61">
        <f>B77+C77</f>
        <v/>
      </c>
      <c r="E77" s="61" t="n"/>
      <c r="F77" s="61">
        <f>D77+E77</f>
        <v/>
      </c>
      <c r="G77" s="62" t="inlineStr">
        <is>
          <t>Pg 1, Ln 2 (Sch A)</t>
        </is>
      </c>
      <c r="H77" s="61" t="n"/>
      <c r="I77" s="62" t="n"/>
      <c r="J77" s="63" t="inlineStr">
        <is>
          <t>Verify 1099-NEC issued for all subs &gt; $600</t>
        </is>
      </c>
    </row>
    <row r="78" ht="15" customHeight="1" s="143">
      <c r="A78" s="60" t="inlineStr">
        <is>
          <t>Software Licenses (Resold)</t>
        </is>
      </c>
      <c r="B78" s="10">
        <f>'P&amp;L'!B14</f>
        <v/>
      </c>
      <c r="C78" t="n">
        <v>0</v>
      </c>
      <c r="D78" s="61">
        <f>B78+C78</f>
        <v/>
      </c>
      <c r="E78" s="61" t="n"/>
      <c r="F78" s="61">
        <f>D78+E78</f>
        <v/>
      </c>
      <c r="G78" s="62" t="inlineStr">
        <is>
          <t>Pg 1, Ln 2 (Sch A)</t>
        </is>
      </c>
      <c r="H78" s="61" t="n"/>
      <c r="I78" s="62" t="n"/>
      <c r="J78" s="63" t="n"/>
    </row>
    <row r="79" ht="15" customHeight="1" s="143">
      <c r="A79" s="60" t="inlineStr">
        <is>
          <t>Project Materials</t>
        </is>
      </c>
      <c r="B79" s="10">
        <f>'P&amp;L'!B15</f>
        <v/>
      </c>
      <c r="C79" t="n">
        <v>0</v>
      </c>
      <c r="D79" s="61">
        <f>B79+C79</f>
        <v/>
      </c>
      <c r="E79" s="61" t="n"/>
      <c r="F79" s="61">
        <f>D79+E79</f>
        <v/>
      </c>
      <c r="G79" s="62" t="inlineStr">
        <is>
          <t>Pg 1, Ln 2 (Sch A)</t>
        </is>
      </c>
      <c r="H79" s="61" t="n"/>
      <c r="I79" s="62" t="n"/>
      <c r="J79" s="63" t="n"/>
    </row>
    <row r="80" ht="15" customHeight="1" s="143">
      <c r="A80" s="242" t="inlineStr">
        <is>
          <t>TOTAL COGS</t>
        </is>
      </c>
      <c r="B80" s="243">
        <f>SUM(B77:B79)</f>
        <v/>
      </c>
      <c r="C80" s="243">
        <f>SUM(C77:C79)</f>
        <v/>
      </c>
      <c r="D80" s="202">
        <f>SUM(D77:D79)</f>
        <v/>
      </c>
      <c r="E80" s="32" t="n"/>
      <c r="F80" s="202">
        <f>SUM(F77:F79)</f>
        <v/>
      </c>
      <c r="G80" s="244" t="inlineStr">
        <is>
          <t>Pg 1, Line 2</t>
        </is>
      </c>
      <c r="H80" s="202">
        <f>SUM(H77:H79)</f>
        <v/>
      </c>
      <c r="I80" s="64" t="n"/>
      <c r="J80" s="64" t="n"/>
    </row>
    <row r="81" ht="15" customHeight="1" s="143"/>
    <row r="82" ht="15" customHeight="1" s="143">
      <c r="A82" s="200" t="inlineStr">
        <is>
          <t>OFFICER COMPENSATION</t>
        </is>
      </c>
      <c r="D82" s="8" t="n"/>
      <c r="E82" s="8" t="n"/>
      <c r="F82" s="8" t="n"/>
      <c r="G82" s="8" t="n"/>
      <c r="H82" s="8" t="n"/>
      <c r="I82" s="8" t="n"/>
      <c r="J82" s="8" t="n"/>
    </row>
    <row r="83" ht="27.75" customHeight="1" s="143">
      <c r="A83" s="246" t="inlineStr">
        <is>
          <t>Officer Comp - [SH1 Name] ([Title], [%]%)</t>
        </is>
      </c>
      <c r="B83" s="185" t="n"/>
      <c r="C83" s="195" t="n"/>
      <c r="D83" s="61">
        <f>B83+C83</f>
        <v/>
      </c>
      <c r="E83" s="61" t="n"/>
      <c r="F83" s="61">
        <f>D83+E83</f>
        <v/>
      </c>
      <c r="G83" s="62" t="inlineStr">
        <is>
          <t>Pg 1, Line 7</t>
        </is>
      </c>
      <c r="H83" s="61" t="n"/>
      <c r="I83" s="62" t="n"/>
      <c r="J83" s="63" t="inlineStr">
        <is>
          <t>REASONABLE COMP: $95K comp vs $180K distributions — document comp analysis.</t>
        </is>
      </c>
    </row>
    <row r="84" ht="27.75" customHeight="1" s="143">
      <c r="A84" s="246" t="inlineStr">
        <is>
          <t>Officer Comp - [SH2 Name] ([Title], [%]%)</t>
        </is>
      </c>
      <c r="B84" s="185" t="n"/>
      <c r="C84" t="n">
        <v>0</v>
      </c>
      <c r="D84" s="61">
        <f>B84+C84</f>
        <v/>
      </c>
      <c r="E84" s="61" t="n"/>
      <c r="F84" s="61">
        <f>D84+E84</f>
        <v/>
      </c>
      <c r="G84" s="62" t="inlineStr">
        <is>
          <t>Pg 1, Line 7</t>
        </is>
      </c>
      <c r="H84" s="61" t="n"/>
      <c r="I84" s="62" t="n"/>
      <c r="J84" s="63" t="inlineStr">
        <is>
          <t>REASONABLE COMP: $65K — verify duties, hours, industry comparisons.</t>
        </is>
      </c>
    </row>
    <row r="85" ht="15" customHeight="1" s="143">
      <c r="A85" s="242" t="inlineStr">
        <is>
          <t>TOTAL OFFICER COMP</t>
        </is>
      </c>
      <c r="B85" s="243">
        <f>SUM(B83:B84)</f>
        <v/>
      </c>
      <c r="D85" s="202">
        <f>SUM(D83:D84)</f>
        <v/>
      </c>
      <c r="E85" s="32" t="n"/>
      <c r="F85" s="202">
        <f>SUM(F83:F84)</f>
        <v/>
      </c>
      <c r="G85" s="244" t="inlineStr">
        <is>
          <t>Pg 1, Line 7</t>
        </is>
      </c>
      <c r="H85" s="202">
        <f>SUM(H83:H84)</f>
        <v/>
      </c>
      <c r="I85" s="64" t="n"/>
      <c r="J85" s="64" t="n"/>
    </row>
    <row r="86" ht="15" customHeight="1" s="143"/>
    <row r="87" ht="15" customHeight="1" s="143">
      <c r="A87" s="200" t="inlineStr">
        <is>
          <t>DEDUCTIONS</t>
        </is>
      </c>
      <c r="D87" s="8" t="n"/>
      <c r="E87" s="8" t="n"/>
      <c r="F87" s="8" t="n"/>
      <c r="G87" s="8" t="n"/>
      <c r="H87" s="8" t="n"/>
      <c r="I87" s="8" t="n"/>
      <c r="J87" s="8" t="n"/>
    </row>
    <row r="88" ht="15" customHeight="1" s="143">
      <c r="A88" s="60" t="inlineStr">
        <is>
          <t>Health Insurance (all staff)</t>
        </is>
      </c>
      <c r="B88" s="10">
        <f>'P&amp;L'!B21</f>
        <v/>
      </c>
      <c r="C88" t="n">
        <v>0</v>
      </c>
      <c r="D88" s="61">
        <f>B88+C88</f>
        <v/>
      </c>
      <c r="E88" s="61" t="n"/>
      <c r="F88" s="61">
        <f>D88+E88</f>
        <v/>
      </c>
      <c r="G88" s="62" t="inlineStr">
        <is>
          <t>Pg 1, Line 8</t>
        </is>
      </c>
      <c r="H88" s="61" t="n"/>
      <c r="I88" s="62" t="n"/>
      <c r="J88" s="63" t="inlineStr">
        <is>
          <t>Reconcile to W-3. Needed for §199A W-2 wage calculation.</t>
        </is>
      </c>
    </row>
    <row r="89" ht="15" customHeight="1" s="143">
      <c r="A89" s="60" t="inlineStr">
        <is>
          <t>Payroll Taxes (FICA/FUTA)</t>
        </is>
      </c>
      <c r="B89" s="10">
        <f>'P&amp;L'!B22</f>
        <v/>
      </c>
      <c r="C89" t="n">
        <v>0</v>
      </c>
      <c r="D89" s="61">
        <f>B89+C89</f>
        <v/>
      </c>
      <c r="E89" s="61" t="n"/>
      <c r="F89" s="61">
        <f>D89+E89</f>
        <v/>
      </c>
      <c r="G89" s="62" t="inlineStr">
        <is>
          <t>Pg 1, Line 12</t>
        </is>
      </c>
      <c r="H89" s="61" t="n"/>
      <c r="I89" s="62" t="n"/>
      <c r="J89" s="63" t="inlineStr">
        <is>
          <t>Employer FICA/FUTA/SUTA. Tie to 941s/940.</t>
        </is>
      </c>
    </row>
    <row r="90" ht="15" customHeight="1" s="143">
      <c r="A90" s="60" t="inlineStr">
        <is>
          <t>401K Retirement Program</t>
        </is>
      </c>
      <c r="B90" s="10">
        <f>'P&amp;L'!B23</f>
        <v/>
      </c>
      <c r="C90" t="n">
        <v>0</v>
      </c>
      <c r="D90" s="61">
        <f>B90+C90</f>
        <v/>
      </c>
      <c r="E90" s="61" t="n"/>
      <c r="F90" s="61">
        <f>D90+E90</f>
        <v/>
      </c>
      <c r="G90" s="62" t="inlineStr">
        <is>
          <t>Pg 1, Line 18</t>
        </is>
      </c>
      <c r="H90" s="61" t="n"/>
      <c r="I90" s="62" t="n"/>
      <c r="J90" s="63" t="inlineStr">
        <is>
          <t>Staff-only health insurance. Fully deductible.</t>
        </is>
      </c>
    </row>
    <row r="91" ht="27.75" customHeight="1" s="143">
      <c r="A91" s="78" t="inlineStr">
        <is>
          <t>Payroll Processing Fees</t>
        </is>
      </c>
      <c r="B91" s="10">
        <f>'P&amp;L'!B24</f>
        <v/>
      </c>
      <c r="C91" t="n">
        <v>0</v>
      </c>
      <c r="D91" s="61">
        <f>B91+C91</f>
        <v/>
      </c>
      <c r="E91" s="61">
        <f>-D91</f>
        <v/>
      </c>
      <c r="F91" s="61">
        <f>D91+E91</f>
        <v/>
      </c>
      <c r="G91" s="79" t="inlineStr">
        <is>
          <t>NOT on 1120-S
→ W-2 / K-1</t>
        </is>
      </c>
      <c r="H91" s="74">
        <f>D91</f>
        <v/>
      </c>
      <c r="I91" s="79" t="inlineStr">
        <is>
          <t>M-1 Ln 3</t>
        </is>
      </c>
      <c r="J91" s="80" t="inlineStr">
        <is>
          <t>&gt;2% SH HEALTH INS: Cannot deduct on 1120-S. Added to officer W-2 Box 1, deducted on 1040.</t>
        </is>
      </c>
    </row>
    <row r="92" ht="15" customHeight="1" s="143">
      <c r="A92" s="60" t="inlineStr">
        <is>
          <t>Computer Software &amp; Supplies (IT)</t>
        </is>
      </c>
      <c r="B92" s="10">
        <f>'P&amp;L'!B25</f>
        <v/>
      </c>
      <c r="C92" t="n">
        <v>0</v>
      </c>
      <c r="D92" s="61">
        <f>B92+C92</f>
        <v/>
      </c>
      <c r="E92" s="61" t="n"/>
      <c r="F92" s="61">
        <f>D92+E92</f>
        <v/>
      </c>
      <c r="G92" s="62" t="inlineStr">
        <is>
          <t>Pg 1, Line 17</t>
        </is>
      </c>
      <c r="H92" s="61" t="n"/>
      <c r="I92" s="62" t="n"/>
      <c r="J92" s="63" t="inlineStr">
        <is>
          <t>Verify within deductible limits.</t>
        </is>
      </c>
    </row>
    <row r="93" ht="15" customHeight="1" s="143">
      <c r="A93" s="60" t="inlineStr">
        <is>
          <t>Rent – 540 NE 4th Street LLC</t>
        </is>
      </c>
      <c r="B93" s="10">
        <f>'P&amp;L'!B26</f>
        <v/>
      </c>
      <c r="C93" t="n">
        <v>0</v>
      </c>
      <c r="D93" s="61">
        <f>B93+C93</f>
        <v/>
      </c>
      <c r="E93" s="61" t="n"/>
      <c r="F93" s="61">
        <f>D93+E93</f>
        <v/>
      </c>
      <c r="G93" s="62" t="inlineStr">
        <is>
          <t>Pg 1, Line 11</t>
        </is>
      </c>
      <c r="H93" s="61" t="n"/>
      <c r="I93" s="62" t="n"/>
      <c r="J93" s="63" t="n"/>
    </row>
    <row r="94" ht="15" customHeight="1" s="143">
      <c r="A94" s="60" t="inlineStr">
        <is>
          <t>Payroll</t>
        </is>
      </c>
      <c r="B94" s="10">
        <f>'P&amp;L'!B19</f>
        <v/>
      </c>
      <c r="C94" s="195" t="n"/>
      <c r="D94" s="61">
        <f>B94+C94</f>
        <v/>
      </c>
      <c r="E94" s="61" t="n"/>
      <c r="F94" s="61">
        <f>D94+E94</f>
        <v/>
      </c>
      <c r="G94" s="62" t="inlineStr">
        <is>
          <t>Pg 1, Line 19</t>
        </is>
      </c>
      <c r="H94" s="61" t="n"/>
      <c r="I94" s="62" t="n"/>
      <c r="J94" s="63" t="n"/>
    </row>
    <row r="95" ht="15" customHeight="1" s="143">
      <c r="A95" s="60" t="inlineStr">
        <is>
          <t>Bonus</t>
        </is>
      </c>
      <c r="B95" s="10">
        <f>'P&amp;L'!B20</f>
        <v/>
      </c>
      <c r="C95" t="n">
        <v>0</v>
      </c>
      <c r="D95" s="61">
        <f>B95+C95</f>
        <v/>
      </c>
      <c r="E95" s="61" t="n"/>
      <c r="F95" s="61">
        <f>D95+E95</f>
        <v/>
      </c>
      <c r="G95" s="62" t="inlineStr">
        <is>
          <t>Pg 1, Line 19</t>
        </is>
      </c>
      <c r="H95" s="61" t="n"/>
      <c r="I95" s="62" t="n"/>
      <c r="J95" s="63" t="n"/>
    </row>
    <row r="96" ht="15" customHeight="1" s="143">
      <c r="A96" s="60" t="inlineStr">
        <is>
          <t>Telephone &amp; Internet</t>
        </is>
      </c>
      <c r="B96" s="10">
        <f>'P&amp;L'!B29</f>
        <v/>
      </c>
      <c r="C96" t="n">
        <v>0</v>
      </c>
      <c r="D96" s="61">
        <f>B96+C96</f>
        <v/>
      </c>
      <c r="E96" s="61" t="n"/>
      <c r="F96" s="61">
        <f>D96+E96</f>
        <v/>
      </c>
      <c r="G96" s="62" t="inlineStr">
        <is>
          <t>Pg 1, Line 19</t>
        </is>
      </c>
      <c r="H96" s="61" t="n"/>
      <c r="I96" s="62" t="n"/>
      <c r="J96" s="63" t="n"/>
    </row>
    <row r="97" ht="15" customHeight="1" s="143">
      <c r="A97" s="60" t="inlineStr">
        <is>
          <t>—</t>
        </is>
      </c>
      <c r="B97" s="10">
        <f>'P&amp;L'!B30</f>
        <v/>
      </c>
      <c r="C97" t="n">
        <v>0</v>
      </c>
      <c r="D97" s="61">
        <f>B97+C97</f>
        <v/>
      </c>
      <c r="E97" s="61" t="n"/>
      <c r="F97" s="61">
        <f>D97+E97</f>
        <v/>
      </c>
      <c r="G97" s="62" t="inlineStr">
        <is>
          <t>Pg 1, Line 16</t>
        </is>
      </c>
      <c r="H97" s="61" t="n"/>
      <c r="I97" s="62" t="n"/>
      <c r="J97" s="63" t="n"/>
    </row>
    <row r="98" ht="15" customHeight="1" s="143">
      <c r="A98" s="60" t="inlineStr">
        <is>
          <t>Dues &amp; Subscriptions</t>
        </is>
      </c>
      <c r="B98" s="10">
        <f>'P&amp;L'!B31</f>
        <v/>
      </c>
      <c r="C98" t="n">
        <v>0</v>
      </c>
      <c r="D98" s="61">
        <f>B98+C98</f>
        <v/>
      </c>
      <c r="E98" s="61" t="n"/>
      <c r="F98" s="61">
        <f>D98+E98</f>
        <v/>
      </c>
      <c r="G98" s="62" t="inlineStr">
        <is>
          <t>Pg 1, Line 19</t>
        </is>
      </c>
      <c r="H98" s="61" t="n"/>
      <c r="I98" s="62" t="n"/>
      <c r="J98" s="63" t="n"/>
    </row>
    <row r="99" ht="27.75" customHeight="1" s="143">
      <c r="A99" s="75" t="inlineStr">
        <is>
          <t>Meals &amp; Entertainment (combined)</t>
        </is>
      </c>
      <c r="B99" s="10">
        <f>'P&amp;L'!B32</f>
        <v/>
      </c>
      <c r="C99">
        <f>4592+509</f>
        <v/>
      </c>
      <c r="D99" s="61">
        <f>B99+C99</f>
        <v/>
      </c>
      <c r="E99" s="61">
        <f>-D99*0.5</f>
        <v/>
      </c>
      <c r="F99" s="61">
        <f>D99+E99</f>
        <v/>
      </c>
      <c r="G99" s="76" t="inlineStr">
        <is>
          <t>Pg 1 Ln 19
(50% only)</t>
        </is>
      </c>
      <c r="H99" s="74">
        <f>D99*0.5</f>
        <v/>
      </c>
      <c r="I99" s="76" t="inlineStr">
        <is>
          <t>M-1 Ln 3c</t>
        </is>
      </c>
      <c r="J99" s="77" t="inlineStr">
        <is>
          <t>50% MEALS: $18K book × 50% = $9K nondeductible. Full amount stays in Col D but only $9K allowed. M-1 add-back $9K.</t>
        </is>
      </c>
    </row>
    <row r="100" ht="27.75" customHeight="1" s="143">
      <c r="A100" s="78" t="inlineStr">
        <is>
          <t>Office Meals</t>
        </is>
      </c>
      <c r="B100" s="10">
        <f>'P&amp;L'!B33</f>
        <v/>
      </c>
      <c r="C100" s="195" t="n"/>
      <c r="D100" s="61">
        <f>B100+C100</f>
        <v/>
      </c>
      <c r="E100" s="61" t="n"/>
      <c r="F100" s="61">
        <f>D100+E100</f>
        <v/>
      </c>
      <c r="G100" s="79" t="inlineStr">
        <is>
          <t>N/A — $0 on return</t>
        </is>
      </c>
      <c r="H100" s="74">
        <f>D100</f>
        <v/>
      </c>
      <c r="I100" s="79" t="inlineStr">
        <is>
          <t>M-1 Ln 3d</t>
        </is>
      </c>
      <c r="J100" s="80" t="inlineStr">
        <is>
          <t>100% NONDEDUCTIBLE per §274(a). Sch K adj zeroes it out. Full M-1 add-back.</t>
        </is>
      </c>
    </row>
    <row r="101" ht="15" customHeight="1" s="143">
      <c r="A101" s="60" t="inlineStr">
        <is>
          <t>Travel</t>
        </is>
      </c>
      <c r="B101" s="10">
        <f>'P&amp;L'!B34</f>
        <v/>
      </c>
      <c r="C101" t="n">
        <v>0</v>
      </c>
      <c r="D101" s="61">
        <f>B101+C101</f>
        <v/>
      </c>
      <c r="E101" s="61" t="n"/>
      <c r="F101" s="61">
        <f>D101+E101</f>
        <v/>
      </c>
      <c r="G101" s="62" t="inlineStr">
        <is>
          <t>Pg 1, Line 19</t>
        </is>
      </c>
      <c r="H101" s="61" t="n"/>
      <c r="I101" s="62" t="n"/>
      <c r="J101" s="63" t="inlineStr">
        <is>
          <t>Verify business purpose documentation.</t>
        </is>
      </c>
    </row>
    <row r="102" ht="15" customHeight="1" s="143">
      <c r="A102" s="60" t="inlineStr">
        <is>
          <t>Consulting Fees</t>
        </is>
      </c>
      <c r="B102" s="10">
        <f>'P&amp;L'!B35</f>
        <v/>
      </c>
      <c r="C102" t="n">
        <v>0</v>
      </c>
      <c r="D102" s="61">
        <f>B102+C102</f>
        <v/>
      </c>
      <c r="E102" s="61" t="n"/>
      <c r="F102" s="61">
        <f>D102+E102</f>
        <v/>
      </c>
      <c r="G102" s="62" t="inlineStr">
        <is>
          <t>Pg 1, Line 19</t>
        </is>
      </c>
      <c r="H102" s="61" t="n"/>
      <c r="I102" s="62" t="n"/>
      <c r="J102" s="63" t="n"/>
    </row>
    <row r="103" ht="15" customHeight="1" s="143">
      <c r="A103" s="60" t="inlineStr">
        <is>
          <t>Recruitment Fees</t>
        </is>
      </c>
      <c r="B103" s="10">
        <f>'P&amp;L'!B36</f>
        <v/>
      </c>
      <c r="C103" t="n">
        <v>0</v>
      </c>
      <c r="D103" s="61">
        <f>B103+C103</f>
        <v/>
      </c>
      <c r="E103" s="61" t="n"/>
      <c r="F103" s="61">
        <f>D103+E103</f>
        <v/>
      </c>
      <c r="G103" s="62" t="inlineStr">
        <is>
          <t>Pg 1, Line 19</t>
        </is>
      </c>
      <c r="H103" s="61" t="n"/>
      <c r="I103" s="62" t="n"/>
      <c r="J103" s="63" t="n"/>
    </row>
    <row r="104" ht="15" customHeight="1" s="143">
      <c r="A104" s="60" t="inlineStr">
        <is>
          <t>Auto Expense</t>
        </is>
      </c>
      <c r="B104" s="10">
        <f>'P&amp;L'!B37</f>
        <v/>
      </c>
      <c r="C104" t="n">
        <v>0</v>
      </c>
      <c r="D104" s="61">
        <f>B104+C104</f>
        <v/>
      </c>
      <c r="E104" s="61" t="n"/>
      <c r="F104" s="61">
        <f>D104+E104</f>
        <v/>
      </c>
      <c r="G104" s="62" t="inlineStr">
        <is>
          <t>Pg 1, Line 19</t>
        </is>
      </c>
      <c r="H104" s="61" t="n"/>
      <c r="I104" s="62" t="n"/>
      <c r="J104" s="63" t="inlineStr">
        <is>
          <t>Verify business use %. Listed property &gt; 50% test.</t>
        </is>
      </c>
    </row>
    <row r="105" ht="15" customHeight="1" s="143">
      <c r="A105" s="75" t="inlineStr">
        <is>
          <t>Book Depreciation - Vehicle</t>
        </is>
      </c>
      <c r="B105" s="10">
        <f>'P&amp;L'!B38</f>
        <v/>
      </c>
      <c r="C105" t="n">
        <v>0</v>
      </c>
      <c r="D105" s="61">
        <f>B105+C105</f>
        <v/>
      </c>
      <c r="E105" s="61">
        <f>-D105</f>
        <v/>
      </c>
      <c r="F105" s="61">
        <f>D105+E105</f>
        <v/>
      </c>
      <c r="G105" s="76" t="inlineStr">
        <is>
          <t>Removed → tax depr</t>
        </is>
      </c>
      <c r="H105" s="74">
        <f>D105</f>
        <v/>
      </c>
      <c r="I105" s="76" t="inlineStr">
        <is>
          <t>M-1 Ln 3a</t>
        </is>
      </c>
      <c r="J105" s="77" t="inlineStr">
        <is>
          <t>BOOK DEPR REMOVED: Tax MACRS replaces book.</t>
        </is>
      </c>
    </row>
    <row r="106" ht="15" customHeight="1" s="143">
      <c r="A106" s="75" t="inlineStr">
        <is>
          <t>Book Depreciation (single line per PBC)</t>
        </is>
      </c>
      <c r="B106" s="10">
        <f>'P&amp;L'!B39</f>
        <v/>
      </c>
      <c r="C106" t="n">
        <v>0</v>
      </c>
      <c r="D106" s="61">
        <f>B106+C106</f>
        <v/>
      </c>
      <c r="E106" s="61">
        <f>-D106</f>
        <v/>
      </c>
      <c r="F106" s="61">
        <f>D106+E106</f>
        <v/>
      </c>
      <c r="G106" s="76" t="inlineStr">
        <is>
          <t>Removed → tax depr</t>
        </is>
      </c>
      <c r="H106" s="74">
        <f>D106</f>
        <v/>
      </c>
      <c r="I106" s="76" t="inlineStr">
        <is>
          <t>M-1 Ln 3a</t>
        </is>
      </c>
      <c r="J106" s="77" t="inlineStr">
        <is>
          <t>BOOK DEPR REMOVED: Book SL replaced by MACRS 7-yr.</t>
        </is>
      </c>
    </row>
    <row r="107" ht="15" customHeight="1" s="143">
      <c r="A107" s="75" t="inlineStr">
        <is>
          <t>Book Depreciation – Office &amp; Computer Equipment</t>
        </is>
      </c>
      <c r="B107" s="10">
        <f>'P&amp;L'!B40</f>
        <v/>
      </c>
      <c r="C107" t="n">
        <v>0</v>
      </c>
      <c r="D107" s="61">
        <f>B107+C107</f>
        <v/>
      </c>
      <c r="E107" s="61">
        <f>-D107</f>
        <v/>
      </c>
      <c r="F107" s="61">
        <f>D107+E107</f>
        <v/>
      </c>
      <c r="G107" s="76" t="inlineStr">
        <is>
          <t>Removed → tax depr</t>
        </is>
      </c>
      <c r="H107" s="74">
        <f>D107</f>
        <v/>
      </c>
      <c r="I107" s="76" t="inlineStr">
        <is>
          <t>M-1 Ln 3a</t>
        </is>
      </c>
      <c r="J107" s="77" t="inlineStr">
        <is>
          <t>BOOK DEPR REMOVED: Book SL replaced by MACRS 5-yr.</t>
        </is>
      </c>
    </row>
    <row r="108" ht="15" customHeight="1" s="143">
      <c r="A108" s="75" t="inlineStr">
        <is>
          <t>Book Depreciation - Leasehold</t>
        </is>
      </c>
      <c r="B108" s="10">
        <f>'P&amp;L'!B41</f>
        <v/>
      </c>
      <c r="C108" t="n">
        <v>0</v>
      </c>
      <c r="D108" s="61">
        <f>B108+C108</f>
        <v/>
      </c>
      <c r="E108" s="61">
        <f>-D108</f>
        <v/>
      </c>
      <c r="F108" s="61">
        <f>D108+E108</f>
        <v/>
      </c>
      <c r="G108" s="76" t="inlineStr">
        <is>
          <t>Removed → tax depr</t>
        </is>
      </c>
      <c r="H108" s="74">
        <f>D108</f>
        <v/>
      </c>
      <c r="I108" s="76" t="inlineStr">
        <is>
          <t>M-1 Ln 3a</t>
        </is>
      </c>
      <c r="J108" s="77" t="inlineStr">
        <is>
          <t>BOOK DEPR REMOVED: Book SL replaced by 15-yr MACRS (QIP).</t>
        </is>
      </c>
    </row>
    <row r="109" ht="27.75" customHeight="1" s="143">
      <c r="A109" s="75" t="inlineStr">
        <is>
          <t>Tax Depreciation - MACRS/Bonus (Form 4562)</t>
        </is>
      </c>
      <c r="D109" s="61" t="n"/>
      <c r="E109" s="61" t="n"/>
      <c r="F109" s="61">
        <f>'Strategy Inputs'!C30</f>
        <v/>
      </c>
      <c r="G109" s="76" t="inlineStr">
        <is>
          <t>Pg 1, Line 14</t>
        </is>
      </c>
      <c r="H109" s="74">
        <f>-'Strategy Inputs'!C30</f>
        <v/>
      </c>
      <c r="I109" s="76" t="inlineStr">
        <is>
          <t>M-1 Ln 6a</t>
        </is>
      </c>
      <c r="J109" s="77" t="inlineStr">
        <is>
          <t>TAX DEPR ADDED: $75K from Form 4562. Not on books → M-1 subtraction.</t>
        </is>
      </c>
    </row>
    <row r="110" ht="27.75" customHeight="1" s="143">
      <c r="A110" s="71" t="inlineStr">
        <is>
          <t>§179 Deduction</t>
        </is>
      </c>
      <c r="D110" s="61" t="n"/>
      <c r="E110" s="61" t="n"/>
      <c r="F110" s="61">
        <f>'Strategy Inputs'!C31</f>
        <v/>
      </c>
      <c r="G110" s="72" t="inlineStr">
        <is>
          <t>→ Sch K, Ln 11</t>
        </is>
      </c>
      <c r="H110" s="74">
        <f>-'Strategy Inputs'!C31</f>
        <v/>
      </c>
      <c r="I110" s="72" t="inlineStr">
        <is>
          <t>M-1 Ln 6b</t>
        </is>
      </c>
      <c r="J110" s="73" t="inlineStr">
        <is>
          <t>SEPARATELY STATED: §179 → Sch K Ln 11 → K-1 Box 11. SH-level income limit. M-1 subtraction.</t>
        </is>
      </c>
    </row>
    <row r="111" ht="15" customHeight="1" s="143">
      <c r="A111" s="60" t="inlineStr">
        <is>
          <t>Liability Insurance</t>
        </is>
      </c>
      <c r="B111" s="10">
        <f>'P&amp;L'!B42</f>
        <v/>
      </c>
      <c r="C111" t="n">
        <v>0</v>
      </c>
      <c r="D111" s="61">
        <f>B111+C111</f>
        <v/>
      </c>
      <c r="E111" s="61" t="n"/>
      <c r="F111" s="61">
        <f>D111+E111</f>
        <v/>
      </c>
      <c r="G111" s="62" t="inlineStr">
        <is>
          <t>Pg 1, Line 19</t>
        </is>
      </c>
      <c r="H111" s="61" t="n"/>
      <c r="I111" s="62" t="n"/>
      <c r="J111" s="63" t="n"/>
    </row>
    <row r="112" ht="15" customHeight="1" s="143">
      <c r="A112" s="60" t="inlineStr">
        <is>
          <t>Workers Comp Insurance</t>
        </is>
      </c>
      <c r="B112" s="10">
        <f>'P&amp;L'!B43</f>
        <v/>
      </c>
      <c r="C112" t="n">
        <v>0</v>
      </c>
      <c r="D112" s="61">
        <f>B112+C112</f>
        <v/>
      </c>
      <c r="E112" s="61" t="n"/>
      <c r="F112" s="61">
        <f>D112+E112</f>
        <v/>
      </c>
      <c r="G112" s="62" t="inlineStr">
        <is>
          <t>Pg 1, Line 19</t>
        </is>
      </c>
      <c r="H112" s="61" t="n"/>
      <c r="I112" s="62" t="n"/>
      <c r="J112" s="63" t="n"/>
    </row>
    <row r="113" ht="15" customHeight="1" s="143">
      <c r="A113" s="60" t="inlineStr">
        <is>
          <t>Investment Management Fees (Portfolio)</t>
        </is>
      </c>
      <c r="B113" s="10">
        <f>'P&amp;L'!B44</f>
        <v/>
      </c>
      <c r="C113" t="n">
        <v>0</v>
      </c>
      <c r="D113" s="61">
        <f>B113+C113</f>
        <v/>
      </c>
      <c r="E113" s="61">
        <f>-D113</f>
        <v/>
      </c>
      <c r="F113" s="61">
        <f>D113+E113</f>
        <v/>
      </c>
      <c r="G113" s="62" t="inlineStr">
        <is>
          <t>→ Sch K, Ln 12c</t>
        </is>
      </c>
      <c r="H113" s="61">
        <f>D113</f>
        <v/>
      </c>
      <c r="I113" s="62" t="inlineStr">
        <is>
          <t>M-1 Ln 3 / K-12c</t>
        </is>
      </c>
      <c r="J113" s="63" t="inlineStr">
        <is>
          <t>PORTFOLIO DEDUCTION: Investment mgmt fees → Sch K Ln 12c. Not Pg 1 ordinary deduction.</t>
        </is>
      </c>
    </row>
    <row r="114" ht="27.75" customHeight="1" s="143">
      <c r="A114" s="71" t="inlineStr">
        <is>
          <t>Charitable Contributions</t>
        </is>
      </c>
      <c r="B114" s="10">
        <f>'P&amp;L'!B45</f>
        <v/>
      </c>
      <c r="C114" t="n">
        <v>0</v>
      </c>
      <c r="D114" s="61">
        <f>B114+C114</f>
        <v/>
      </c>
      <c r="E114" s="61">
        <f>-IF('Strategy Inputs'!C17&lt;&gt;"",'Strategy Inputs'!C17,'Strategy Inputs'!D17)</f>
        <v/>
      </c>
      <c r="F114" s="61">
        <f>D114+E114</f>
        <v/>
      </c>
      <c r="G114" s="72" t="inlineStr">
        <is>
          <t>→ Sch K, Ln 12a</t>
        </is>
      </c>
      <c r="H114" s="74">
        <f>IF('Strategy Inputs'!C17&lt;&gt;"",'Strategy Inputs'!C17,'Strategy Inputs'!D17)</f>
        <v/>
      </c>
      <c r="I114" s="72" t="inlineStr">
        <is>
          <t>M-1 Ln 3e</t>
        </is>
      </c>
      <c r="J114" s="73" t="inlineStr">
        <is>
          <t>SEPARATELY STATED: NOT on Pg 1. → Sch K Ln 12a → K-1 Box 12A. SH AGI limits.</t>
        </is>
      </c>
    </row>
    <row r="115" ht="15" customHeight="1" s="143">
      <c r="A115" s="136" t="inlineStr">
        <is>
          <t>Taxes &amp; Licenses</t>
        </is>
      </c>
      <c r="B115" s="10">
        <f>'P&amp;L'!B46</f>
        <v/>
      </c>
      <c r="C115" t="n">
        <v>0</v>
      </c>
      <c r="D115" s="61">
        <f>B115+C115</f>
        <v/>
      </c>
      <c r="E115" s="61" t="n"/>
      <c r="F115" s="61">
        <f>D115+E115</f>
        <v/>
      </c>
      <c r="G115" s="137" t="inlineStr">
        <is>
          <t>Pg 1 Ln 19</t>
        </is>
      </c>
      <c r="H115" s="74">
        <f>F115</f>
        <v/>
      </c>
      <c r="I115" s="79" t="inlineStr">
        <is>
          <t>M-1 Ln 3f</t>
        </is>
      </c>
      <c r="J115" s="80" t="inlineStr">
        <is>
          <t>100% NONDEDUCTIBLE. Permanent diff. Full M-1 add-back.</t>
        </is>
      </c>
    </row>
    <row r="116" ht="15" customHeight="1" s="143">
      <c r="A116" s="136" t="inlineStr">
        <is>
          <t>Bank Service Charges</t>
        </is>
      </c>
      <c r="B116" s="10">
        <f>'P&amp;L'!B47</f>
        <v/>
      </c>
      <c r="C116" t="n">
        <v>0</v>
      </c>
      <c r="D116" s="61">
        <f>B116+C116</f>
        <v/>
      </c>
      <c r="E116" s="61" t="n"/>
      <c r="F116" s="61">
        <f>D116+E116</f>
        <v/>
      </c>
      <c r="G116" s="137" t="inlineStr">
        <is>
          <t>Pg 1 Ln 19</t>
        </is>
      </c>
      <c r="H116" s="138">
        <f>D116</f>
        <v/>
      </c>
      <c r="I116" s="79" t="inlineStr">
        <is>
          <t>M-1 Ln 3g</t>
        </is>
      </c>
      <c r="J116" s="80" t="inlineStr">
        <is>
          <t>100% NONDEDUCTIBLE per §162(f). Full M-1 add-back.</t>
        </is>
      </c>
    </row>
    <row r="117" ht="15" customHeight="1" s="143">
      <c r="A117" s="136" t="inlineStr">
        <is>
          <t>Miscellaneous Expense</t>
        </is>
      </c>
      <c r="B117" s="10">
        <f>'P&amp;L'!B48</f>
        <v/>
      </c>
      <c r="C117" t="n">
        <v>0</v>
      </c>
      <c r="D117" s="61">
        <f>B117+C117</f>
        <v/>
      </c>
      <c r="E117" s="61" t="n"/>
      <c r="F117" s="61">
        <f>D117+E117</f>
        <v/>
      </c>
      <c r="G117" s="137" t="inlineStr">
        <is>
          <t>Pg 1 Ln 19</t>
        </is>
      </c>
      <c r="H117" s="138">
        <f>D117</f>
        <v/>
      </c>
      <c r="I117" s="79" t="inlineStr">
        <is>
          <t>M-1 Ln 3h</t>
        </is>
      </c>
      <c r="J117" s="80" t="inlineStr">
        <is>
          <t>NONDEDUCTIBLE: Corp is beneficiary. Full M-1 add-back.</t>
        </is>
      </c>
    </row>
    <row r="118" ht="15" customHeight="1" s="143">
      <c r="A118" s="78" t="inlineStr">
        <is>
          <t>Travel Meals</t>
        </is>
      </c>
      <c r="B118" s="10">
        <f>'P&amp;L'!B49</f>
        <v/>
      </c>
      <c r="C118" s="195" t="n"/>
      <c r="D118" s="61">
        <f>B118+C118</f>
        <v/>
      </c>
      <c r="E118" s="61" t="n"/>
      <c r="F118" s="61">
        <f>D118+E118</f>
        <v/>
      </c>
      <c r="G118" s="79" t="inlineStr">
        <is>
          <t>Pg 1 Ln 19 ($0)</t>
        </is>
      </c>
      <c r="H118" s="138">
        <f>D118</f>
        <v/>
      </c>
      <c r="I118" s="79" t="inlineStr">
        <is>
          <t>M-1 Ln 3i</t>
        </is>
      </c>
      <c r="J118" s="80" t="inlineStr">
        <is>
          <t>100% NONDEDUCTIBLE per §274(a)(3). Full M-1 add-back.</t>
        </is>
      </c>
    </row>
    <row r="119" ht="15" customHeight="1" s="143">
      <c r="A119" s="60" t="inlineStr">
        <is>
          <t>Interest Expense – Business LOC (N/A)</t>
        </is>
      </c>
      <c r="B119" s="10">
        <f>'P&amp;L'!B58</f>
        <v/>
      </c>
      <c r="C119" t="n">
        <v>0</v>
      </c>
      <c r="D119" s="61">
        <f>B119+C119</f>
        <v/>
      </c>
      <c r="E119" s="61" t="n"/>
      <c r="F119" s="61">
        <f>D119+E119</f>
        <v/>
      </c>
      <c r="G119" s="62" t="inlineStr">
        <is>
          <t>Pg 1, Line 13</t>
        </is>
      </c>
      <c r="H119" s="61" t="n"/>
      <c r="I119" s="62" t="n"/>
      <c r="J119" s="63" t="inlineStr">
        <is>
          <t>Check §163(j) 30% ATI limitation.</t>
        </is>
      </c>
    </row>
    <row r="120" ht="15" customHeight="1" s="143">
      <c r="A120" s="60" t="inlineStr">
        <is>
          <t>Interest Expense – Vehicle Loan (N/A)</t>
        </is>
      </c>
      <c r="B120" s="10">
        <f>'P&amp;L'!B59</f>
        <v/>
      </c>
      <c r="C120" t="n">
        <v>0</v>
      </c>
      <c r="D120" s="61">
        <f>B120+C120</f>
        <v/>
      </c>
      <c r="E120" s="61" t="n"/>
      <c r="F120" s="61">
        <f>D120+E120</f>
        <v/>
      </c>
      <c r="G120" s="62" t="inlineStr">
        <is>
          <t>Pg 1, Line 13</t>
        </is>
      </c>
      <c r="H120" s="61" t="n"/>
      <c r="I120" s="62" t="n"/>
      <c r="J120" s="63" t="n"/>
    </row>
    <row r="121" ht="27.75" customHeight="1" s="143">
      <c r="A121" s="253" t="inlineStr">
        <is>
          <t>Rental Activity Expenses (Equipment)</t>
        </is>
      </c>
      <c r="D121" s="61" t="n"/>
      <c r="E121" s="61">
        <f>'Strategy Inputs'!C8</f>
        <v/>
      </c>
      <c r="F121" s="61">
        <f>E121</f>
        <v/>
      </c>
      <c r="G121" s="72" t="inlineStr">
        <is>
          <t>→ Sch K, Ln 3c</t>
        </is>
      </c>
      <c r="H121" s="61" t="n"/>
      <c r="I121" s="72" t="n"/>
      <c r="J121" s="73" t="inlineStr">
        <is>
          <t>Expenses allocated to equipment rental activity. Nets against rental income on Sch K, Ln 3.</t>
        </is>
      </c>
    </row>
    <row r="122" ht="18" customHeight="1" s="143">
      <c r="A122" s="175" t="inlineStr">
        <is>
          <t>── TAX STRATEGY ADJUSTMENTS ──</t>
        </is>
      </c>
    </row>
    <row r="123" ht="15" customHeight="1" s="143">
      <c r="A123" s="35" t="inlineStr">
        <is>
          <t>Augusta Rule — §280A(g) Rent</t>
        </is>
      </c>
      <c r="D123" s="82" t="n"/>
      <c r="E123" s="82">
        <f>'Strategy Inputs'!C34</f>
        <v/>
      </c>
      <c r="F123" s="82">
        <f>D123+E123</f>
        <v/>
      </c>
      <c r="G123" s="23" t="inlineStr">
        <is>
          <t>Pg 1 Ln 18</t>
        </is>
      </c>
      <c r="H123" s="31" t="n"/>
    </row>
    <row r="124" ht="15" customHeight="1" s="143">
      <c r="A124" s="35" t="inlineStr">
        <is>
          <t>Home Office — Accountable Plan Reimb</t>
        </is>
      </c>
      <c r="D124" s="31" t="n"/>
      <c r="E124" s="82">
        <f>'Strategy Inputs'!C35</f>
        <v/>
      </c>
      <c r="F124" s="82">
        <f>D124+E124</f>
        <v/>
      </c>
      <c r="G124" s="23" t="inlineStr">
        <is>
          <t>Pg 1 Ln 18</t>
        </is>
      </c>
      <c r="H124" s="31" t="n"/>
    </row>
    <row r="125" ht="27.75" customHeight="1" s="143">
      <c r="A125" s="35" t="inlineStr">
        <is>
          <t>Kids on Payroll — Child Wages</t>
        </is>
      </c>
      <c r="D125" s="31" t="n"/>
      <c r="E125" s="82">
        <f>'Strategy Inputs'!C36</f>
        <v/>
      </c>
      <c r="F125" s="82">
        <f>D125+E125</f>
        <v/>
      </c>
      <c r="G125" s="23" t="inlineStr">
        <is>
          <t>Pg 1 Ln 8</t>
        </is>
      </c>
      <c r="H125" s="31" t="n"/>
    </row>
    <row r="126" ht="27.75" customHeight="1" s="143">
      <c r="A126" s="254" t="inlineStr">
        <is>
          <t>Officer Salary Adjustment</t>
        </is>
      </c>
      <c r="D126" s="31" t="n"/>
      <c r="E126" s="82">
        <f>'Strategy Inputs'!C37</f>
        <v/>
      </c>
      <c r="F126" s="82">
        <f>D126+E126</f>
        <v/>
      </c>
      <c r="G126" s="23" t="inlineStr">
        <is>
          <t>Pg 1 Ln 7 adj</t>
        </is>
      </c>
      <c r="H126" s="31" t="n"/>
    </row>
    <row r="127" ht="15" customHeight="1" s="143">
      <c r="A127" s="35" t="inlineStr">
        <is>
          <t>Additional Retirement Contribution</t>
        </is>
      </c>
      <c r="D127" s="31" t="n"/>
      <c r="E127" s="82">
        <f>'Strategy Inputs'!C38</f>
        <v/>
      </c>
      <c r="F127" s="82">
        <f>D127+E127</f>
        <v/>
      </c>
      <c r="G127" s="23" t="inlineStr">
        <is>
          <t>Pg 1 Ln 17</t>
        </is>
      </c>
      <c r="H127" s="31" t="n"/>
    </row>
    <row r="128" ht="15" customHeight="1" s="143">
      <c r="A128" s="35" t="inlineStr">
        <is>
          <t>Accountable Plan — Other Reimb</t>
        </is>
      </c>
      <c r="D128" s="31" t="n"/>
      <c r="E128" s="82">
        <f>'Strategy Inputs'!C39</f>
        <v/>
      </c>
      <c r="F128" s="82">
        <f>D128+E128</f>
        <v/>
      </c>
      <c r="G128" s="23" t="inlineStr">
        <is>
          <t>Pg 1 Ln 18</t>
        </is>
      </c>
      <c r="H128" s="31" t="n"/>
    </row>
    <row r="129" ht="15" customHeight="1" s="143"/>
    <row r="130" ht="15" customHeight="1" s="143">
      <c r="A130" s="242" t="inlineStr">
        <is>
          <t>TOTAL DEDUCTIONS (per WTB)</t>
        </is>
      </c>
      <c r="B130" s="243">
        <f>SUM(B88:B129)</f>
        <v/>
      </c>
      <c r="C130" s="243">
        <f>SUM(C88:C129)</f>
        <v/>
      </c>
      <c r="D130" s="202">
        <f>SUM(D88:D129)</f>
        <v/>
      </c>
      <c r="F130" s="202">
        <f>SUM(F88:F129)</f>
        <v/>
      </c>
      <c r="H130" s="202">
        <f>SUM(H88:H129)</f>
        <v/>
      </c>
    </row>
    <row r="131" ht="15" customHeight="1" s="143"/>
    <row r="132" ht="15" customHeight="1" s="143">
      <c r="A132" s="255" t="inlineStr">
        <is>
          <t>OTHER INCOME / (EXPENSE) — Schedule K &amp; M-1 Items</t>
        </is>
      </c>
      <c r="B132" s="164" t="n"/>
      <c r="C132" s="164" t="n"/>
      <c r="D132" s="164" t="n"/>
      <c r="E132" s="164" t="n"/>
      <c r="F132" s="164" t="n"/>
      <c r="G132" s="164" t="n"/>
      <c r="H132" s="164" t="n"/>
      <c r="I132" s="164" t="n"/>
      <c r="J132" s="164" t="n"/>
      <c r="K132" s="164" t="n"/>
      <c r="L132" s="164" t="n"/>
    </row>
    <row r="133" ht="15" customHeight="1" s="143">
      <c r="A133" s="164" t="inlineStr">
        <is>
          <t>Interest Income – Schwab &amp; Bank Accounts</t>
        </is>
      </c>
      <c r="B133" s="164">
        <f>'P&amp;L'!B53</f>
        <v/>
      </c>
      <c r="C133" s="164" t="n">
        <v>0</v>
      </c>
      <c r="D133" s="164">
        <f>B133+C133</f>
        <v/>
      </c>
      <c r="E133" s="164">
        <f>F133-D133</f>
        <v/>
      </c>
      <c r="F133" s="196" t="n"/>
      <c r="G133" s="164" t="inlineStr">
        <is>
          <t>→ Sch K, Ln 4</t>
        </is>
      </c>
      <c r="H133" s="164" t="n">
        <v>0</v>
      </c>
      <c r="I133" s="164" t="inlineStr">
        <is>
          <t>K-4</t>
        </is>
      </c>
      <c r="J133" s="164" t="inlineStr">
        <is>
          <t>Portfolio interest income. Separately stated → K-1 Box 4.</t>
        </is>
      </c>
      <c r="K133" s="164" t="n"/>
      <c r="L133" s="164" t="n"/>
    </row>
    <row r="134" ht="15" customHeight="1" s="143">
      <c r="A134" s="256" t="inlineStr">
        <is>
          <t>Ordinary Dividends – Schwab One (K-5a)</t>
        </is>
      </c>
      <c r="B134" s="257">
        <f>'P&amp;L'!B54</f>
        <v/>
      </c>
      <c r="C134" s="257" t="n">
        <v>0</v>
      </c>
      <c r="D134" s="257">
        <f>B134+C134</f>
        <v/>
      </c>
      <c r="E134" s="257">
        <f>F134-D134</f>
        <v/>
      </c>
      <c r="F134" s="196" t="n"/>
      <c r="G134" s="257" t="inlineStr">
        <is>
          <t>→ Sch K, Ln 5a / 5b</t>
        </is>
      </c>
      <c r="H134" s="257" t="n">
        <v>0</v>
      </c>
      <c r="I134" s="257" t="inlineStr">
        <is>
          <t>K-5a / K-5b</t>
        </is>
      </c>
      <c r="J134" s="257" t="inlineStr">
        <is>
          <t>Ordinary divs → K-5a. Qualified portion → K-5b. ⚑ TBD: pull K-5b from 1099-DIV Box 1b.</t>
        </is>
      </c>
      <c r="K134" s="164" t="n"/>
      <c r="L134" s="164" t="n"/>
    </row>
    <row r="135" ht="15" customHeight="1" s="143">
      <c r="A135" s="164" t="inlineStr">
        <is>
          <t>Capital Gain / (Loss) on Investments</t>
        </is>
      </c>
      <c r="B135" s="164">
        <f>'P&amp;L'!B56</f>
        <v/>
      </c>
      <c r="C135" s="164" t="n">
        <v>0</v>
      </c>
      <c r="D135" s="164">
        <f>B135+C135</f>
        <v/>
      </c>
      <c r="E135" s="164">
        <f>F135-D135</f>
        <v/>
      </c>
      <c r="F135" s="196" t="n"/>
      <c r="G135" s="164" t="inlineStr">
        <is>
          <t>→ Sch K, Ln 7 or 8a</t>
        </is>
      </c>
      <c r="H135" s="164" t="n">
        <v>0</v>
      </c>
      <c r="I135" s="164" t="inlineStr">
        <is>
          <t>K-7 / K-8a</t>
        </is>
      </c>
      <c r="J135" s="164" t="inlineStr">
        <is>
          <t>⚑ Verify holding period: ST → K-7 | LT → K-8a. Complete Form 8949 / Sch D.</t>
        </is>
      </c>
      <c r="K135" s="164" t="n"/>
      <c r="L135" s="164" t="n"/>
    </row>
    <row r="136" ht="15" customHeight="1" s="143">
      <c r="A136" s="164" t="inlineStr">
        <is>
          <t>Unrealized Capital Gain / Loss (Book Only — OAA)</t>
        </is>
      </c>
      <c r="B136" s="164">
        <f>'P&amp;L'!B61</f>
        <v/>
      </c>
      <c r="C136" s="164" t="n">
        <v>0</v>
      </c>
      <c r="D136" s="164">
        <f>B136+C136</f>
        <v/>
      </c>
      <c r="E136" s="164">
        <f>F136-D136</f>
        <v/>
      </c>
      <c r="F136" s="164" t="n">
        <v>0</v>
      </c>
      <c r="G136" s="164" t="inlineStr">
        <is>
          <t>N/A — OAA only</t>
        </is>
      </c>
      <c r="H136" s="164">
        <f>-D136</f>
        <v/>
      </c>
      <c r="I136" s="164" t="inlineStr">
        <is>
          <t>M-1 Ln 5b</t>
        </is>
      </c>
      <c r="J136" s="164" t="inlineStr">
        <is>
          <t>BOOK ONLY: Unrealized gain not recognized for tax. Increases OAA. M-1 Line 5 subtraction.</t>
        </is>
      </c>
      <c r="K136" s="164" t="n"/>
      <c r="L136" s="164" t="n"/>
    </row>
    <row r="137" ht="15" customHeight="1" s="143">
      <c r="A137" s="164" t="inlineStr">
        <is>
          <t xml:space="preserve">     ↳ Portfolio Deductions – Investment Mgmt Fees (K-12c) → see Deductions section row 113</t>
        </is>
      </c>
      <c r="B137" s="164" t="n"/>
      <c r="C137" s="164" t="n"/>
      <c r="D137" s="164" t="n"/>
      <c r="E137" s="164" t="n"/>
      <c r="F137" s="164" t="n"/>
      <c r="G137" s="164" t="n"/>
      <c r="H137" s="164" t="n"/>
      <c r="I137" s="164" t="n"/>
      <c r="J137" s="164" t="inlineStr">
        <is>
          <t>Tracked in Deductions section. Sch K adj removes from Pg 1; flows to K-12c.</t>
        </is>
      </c>
      <c r="K137" s="164" t="n"/>
      <c r="L137" s="164" t="n"/>
    </row>
    <row r="138" ht="15" customHeight="1" s="143">
      <c r="A138" s="164" t="n"/>
      <c r="I138" s="164" t="n"/>
      <c r="J138" s="164" t="n"/>
      <c r="K138" s="164" t="n"/>
      <c r="L138" s="164" t="n"/>
    </row>
    <row r="139" ht="15" customHeight="1" s="143">
      <c r="A139" s="256" t="inlineStr">
        <is>
          <t>TOTAL OTHER INCOME (net book)</t>
        </is>
      </c>
      <c r="B139" s="257">
        <f>SUM(B133:B137)</f>
        <v/>
      </c>
      <c r="C139" s="257">
        <f>SUM(C133:C137)</f>
        <v/>
      </c>
      <c r="D139" s="257">
        <f>SUM(D133:D137)</f>
        <v/>
      </c>
      <c r="E139" s="164" t="n"/>
      <c r="F139" s="257">
        <f>SUM(F133:F137)</f>
        <v/>
      </c>
      <c r="G139" s="257" t="inlineStr">
        <is>
          <t>Sch K items</t>
        </is>
      </c>
      <c r="H139" s="164" t="n"/>
      <c r="I139" s="164" t="n"/>
      <c r="J139" s="164" t="n"/>
      <c r="K139" s="164" t="n"/>
      <c r="L139" s="164" t="n"/>
    </row>
    <row r="140" ht="15" customHeight="1" s="143">
      <c r="A140" s="164" t="n"/>
      <c r="B140" s="164" t="n"/>
      <c r="C140" s="164" t="n"/>
      <c r="D140" s="164" t="n"/>
      <c r="E140" s="164" t="n"/>
      <c r="F140" s="164" t="n"/>
      <c r="G140" s="164" t="n"/>
      <c r="H140" s="164" t="n"/>
      <c r="I140" s="164" t="n"/>
      <c r="J140" s="164" t="n"/>
      <c r="K140" s="164" t="n"/>
      <c r="L140" s="164" t="n"/>
    </row>
    <row r="141" ht="15" customHeight="1" s="143"/>
    <row r="142" ht="15" customHeight="1" s="143"/>
    <row r="143" ht="15" customHeight="1" s="143">
      <c r="A143" s="200" t="inlineStr">
        <is>
          <t>DISTRIBUTIONS (from Balance Sheet — not on P&amp;L)</t>
        </is>
      </c>
      <c r="D143" s="8" t="n"/>
      <c r="E143" s="8" t="n"/>
      <c r="F143" s="8" t="n"/>
      <c r="G143" s="8" t="n"/>
      <c r="H143" s="8" t="n"/>
      <c r="I143" s="8" t="n"/>
      <c r="J143" s="8" t="n"/>
    </row>
    <row r="144" ht="15" customHeight="1" s="143">
      <c r="A144" s="258" t="inlineStr">
        <is>
          <t>Distributions - [SH1 Name] ([%]%)</t>
        </is>
      </c>
      <c r="B144" s="195" t="n"/>
      <c r="C144" t="n">
        <v>0</v>
      </c>
      <c r="D144" s="61" t="n"/>
      <c r="E144" s="61" t="n"/>
      <c r="F144" s="61">
        <f>B144+C144+D144+E144</f>
        <v/>
      </c>
      <c r="G144" s="68" t="inlineStr">
        <is>
          <t>→ Sch K Ln 16d
→ K-1 Box 16D</t>
        </is>
      </c>
      <c r="H144" s="61" t="n"/>
      <c r="I144" s="68" t="n"/>
      <c r="J144" s="69" t="inlineStr">
        <is>
          <t>Reduces AAA → OAA → basis. Not a deduction. Not on M-1.</t>
        </is>
      </c>
    </row>
    <row r="145" ht="15" customHeight="1" s="143">
      <c r="A145" s="258" t="inlineStr">
        <is>
          <t>Distributions - [SH2 Name] ([%]%)</t>
        </is>
      </c>
      <c r="B145" s="10">
        <f>' Balance Sheet'!B63</f>
        <v/>
      </c>
      <c r="C145" t="n">
        <v>0</v>
      </c>
      <c r="D145" s="61" t="n"/>
      <c r="E145" s="61" t="n"/>
      <c r="F145" s="61">
        <f>B145+C145+D145+E145</f>
        <v/>
      </c>
      <c r="G145" s="68" t="inlineStr">
        <is>
          <t>→ Sch K Ln 16d
→ K-1 Box 16D</t>
        </is>
      </c>
      <c r="H145" s="61" t="n"/>
      <c r="I145" s="68" t="n"/>
      <c r="J145" s="69" t="inlineStr">
        <is>
          <t>Same ordering rules. Total $300K — verify AAA has sufficient balance.</t>
        </is>
      </c>
    </row>
    <row r="146" ht="15" customHeight="1" s="143">
      <c r="A146" s="242" t="inlineStr">
        <is>
          <t>TOTAL DISTRIBUTIONS</t>
        </is>
      </c>
      <c r="B146" s="250">
        <f>SUM(B144:B145)</f>
        <v/>
      </c>
      <c r="C146" s="243">
        <f>SUM(C144:C145)</f>
        <v/>
      </c>
      <c r="D146" s="202">
        <f>SUM(D144:D145)</f>
        <v/>
      </c>
      <c r="E146" s="202">
        <f>SUM(E144:E145)</f>
        <v/>
      </c>
      <c r="F146" s="202">
        <f>SUM(F144:F145)</f>
        <v/>
      </c>
      <c r="G146" s="244" t="inlineStr">
        <is>
          <t>Sch K, Ln 16d</t>
        </is>
      </c>
      <c r="H146" s="202" t="n">
        <v>0</v>
      </c>
      <c r="I146" s="64" t="n"/>
      <c r="J146" s="64" t="n"/>
    </row>
    <row r="147" ht="15" customHeight="1" s="143"/>
    <row r="148" ht="15" customHeight="1" s="143"/>
    <row r="149" ht="15" customHeight="1" s="143">
      <c r="A149" s="259" t="inlineStr">
        <is>
          <t>RECONCILIATION — ORDINARY BUSINESS INCOME (Pg 1, Line 21 / Sch K, Line 1)</t>
        </is>
      </c>
    </row>
    <row r="150" ht="15" customHeight="1" s="143">
      <c r="A150" s="201" t="inlineStr">
        <is>
          <t>Total Income (per WTB, Col D)</t>
        </is>
      </c>
      <c r="F150" s="250">
        <f>F74</f>
        <v/>
      </c>
    </row>
    <row r="151" ht="15" customHeight="1" s="143">
      <c r="A151" t="inlineStr">
        <is>
          <t>Less: COGS</t>
        </is>
      </c>
      <c r="F151" s="10">
        <f>-F80</f>
        <v/>
      </c>
    </row>
    <row r="152" ht="15" customHeight="1" s="143">
      <c r="A152" s="201" t="inlineStr">
        <is>
          <t>Gross Profit</t>
        </is>
      </c>
      <c r="F152" s="202">
        <f>F150+F151</f>
        <v/>
      </c>
    </row>
    <row r="153" ht="15" customHeight="1" s="143">
      <c r="A153" t="inlineStr">
        <is>
          <t>Less: Officer Compensation</t>
        </is>
      </c>
      <c r="F153" s="10">
        <f>-F85</f>
        <v/>
      </c>
    </row>
    <row r="154" ht="15" customHeight="1" s="143">
      <c r="A154" t="inlineStr">
        <is>
          <t>Less: Deductions</t>
        </is>
      </c>
      <c r="F154" s="10">
        <f>-F130</f>
        <v/>
      </c>
    </row>
    <row r="155" ht="15" customHeight="1" s="143">
      <c r="A155" s="242" t="inlineStr">
        <is>
          <t>ORDINARY BUSINESS INCOME (Pg 1, Ln 21 / Sch K, Ln 1)</t>
        </is>
      </c>
      <c r="D155" s="66" t="n"/>
      <c r="E155" s="66" t="n"/>
      <c r="F155" s="245">
        <f>F152+F153+F154</f>
        <v/>
      </c>
      <c r="G155" s="66" t="n"/>
      <c r="H155" s="66" t="n"/>
      <c r="I155" s="66" t="n"/>
      <c r="J155" s="66" t="n"/>
    </row>
    <row r="156" ht="15" customHeight="1" s="143"/>
    <row r="157" ht="15" customHeight="1" s="143">
      <c r="A157" s="248" t="inlineStr">
        <is>
          <t>M-1 PROOF — Net Income Per Books → Income Per Return</t>
        </is>
      </c>
    </row>
    <row r="158" ht="15" customHeight="1" s="143">
      <c r="A158" t="inlineStr">
        <is>
          <t>Line 1: Net income per books</t>
        </is>
      </c>
      <c r="H158" s="10">
        <f>'P&amp;L'!B63</f>
        <v/>
      </c>
    </row>
    <row r="159" ht="15" customHeight="1" s="143">
      <c r="A159" s="173" t="inlineStr">
        <is>
          <t>Line 3: Expenses on books not on return (ADD BACKS):</t>
        </is>
      </c>
    </row>
    <row r="160" ht="15" customHeight="1" s="143">
      <c r="A160" s="9" t="inlineStr">
        <is>
          <t xml:space="preserve">   a. Book depreciation</t>
        </is>
      </c>
      <c r="H160" s="84">
        <f>H105+H106+H107+H108</f>
        <v/>
      </c>
    </row>
    <row r="161" ht="15" customHeight="1" s="143">
      <c r="A161" s="9" t="inlineStr">
        <is>
          <t xml:space="preserve">   b. &gt;2% SH health insurance</t>
        </is>
      </c>
      <c r="H161" s="85">
        <f>H91</f>
        <v/>
      </c>
    </row>
    <row r="162" ht="15" customHeight="1" s="143">
      <c r="A162" s="9" t="inlineStr">
        <is>
          <t xml:space="preserve">   c. 50% meals disallowance</t>
        </is>
      </c>
      <c r="H162" s="84">
        <f>H99</f>
        <v/>
      </c>
    </row>
    <row r="163" ht="15" customHeight="1" s="143">
      <c r="A163" s="9" t="inlineStr">
        <is>
          <t xml:space="preserve">   d. Entertainment (100%)</t>
        </is>
      </c>
      <c r="H163" s="85">
        <f>H100</f>
        <v/>
      </c>
    </row>
    <row r="164" ht="15" customHeight="1" s="143">
      <c r="A164" s="9" t="inlineStr">
        <is>
          <t xml:space="preserve">   e. Charitable contributions (sep stated)</t>
        </is>
      </c>
      <c r="H164" s="86">
        <f>H114</f>
        <v/>
      </c>
    </row>
    <row r="165" ht="15" customHeight="1" s="143">
      <c r="A165" s="9" t="inlineStr">
        <is>
          <t xml:space="preserve">   f. Political contributions</t>
        </is>
      </c>
      <c r="H165" s="85">
        <f>H115</f>
        <v/>
      </c>
    </row>
    <row r="166" ht="15" customHeight="1" s="143">
      <c r="A166" s="9" t="inlineStr">
        <is>
          <t xml:space="preserve">   g. Penalties &amp; fines</t>
        </is>
      </c>
      <c r="H166" s="85">
        <f>H116</f>
        <v/>
      </c>
    </row>
    <row r="167" ht="15" customHeight="1" s="143">
      <c r="A167" s="9" t="inlineStr">
        <is>
          <t xml:space="preserve">   h. Life insurance premiums</t>
        </is>
      </c>
      <c r="H167" s="85">
        <f>H117</f>
        <v/>
      </c>
    </row>
    <row r="168" ht="15" customHeight="1" s="143">
      <c r="A168" s="9" t="inlineStr">
        <is>
          <t xml:space="preserve">   i. Club dues</t>
        </is>
      </c>
      <c r="H168" s="85">
        <f>H118</f>
        <v/>
      </c>
    </row>
    <row r="169" ht="15" customHeight="1" s="143">
      <c r="A169" t="inlineStr">
        <is>
          <t xml:space="preserve">   j. Investment mgmt fees (K-12c portfolio deductions)</t>
        </is>
      </c>
      <c r="H169" s="10">
        <f>H113</f>
        <v/>
      </c>
    </row>
    <row r="170" ht="15" customHeight="1" s="143">
      <c r="A170" s="201" t="inlineStr">
        <is>
          <t xml:space="preserve">   Total Line 3</t>
        </is>
      </c>
      <c r="H170" s="202">
        <f>SUM(H160:H169)</f>
        <v/>
      </c>
    </row>
    <row r="171" ht="15" customHeight="1" s="143">
      <c r="A171" s="201" t="inlineStr">
        <is>
          <t>Line 4: Total (Lines 1 + 3)</t>
        </is>
      </c>
      <c r="H171" s="250">
        <f>H158+H170</f>
        <v/>
      </c>
    </row>
    <row r="172" ht="15" customHeight="1" s="143">
      <c r="A172" s="173" t="inlineStr">
        <is>
          <t>Line 5: Income on books not on return (SUBTRACT):</t>
        </is>
      </c>
    </row>
    <row r="173" ht="15" customHeight="1" s="143">
      <c r="A173" s="9" t="inlineStr">
        <is>
          <t xml:space="preserve">   a. Tax-exempt interest</t>
        </is>
      </c>
      <c r="H173" s="87">
        <f>0</f>
        <v/>
      </c>
    </row>
    <row r="174" ht="15" customHeight="1" s="143">
      <c r="A174" s="9" t="inlineStr">
        <is>
          <t xml:space="preserve">   b. Unrealized gain on investments</t>
        </is>
      </c>
      <c r="H174" s="84">
        <f>H136</f>
        <v/>
      </c>
    </row>
    <row r="175" ht="15" customHeight="1" s="143">
      <c r="A175" s="201" t="inlineStr">
        <is>
          <t xml:space="preserve">   Total Line 5</t>
        </is>
      </c>
      <c r="H175" s="202">
        <f>SUM(H173:H174)</f>
        <v/>
      </c>
    </row>
    <row r="176" ht="15" customHeight="1" s="143">
      <c r="A176" s="173" t="inlineStr">
        <is>
          <t>Line 6: Deductions on return not on books (SUBTRACT):</t>
        </is>
      </c>
    </row>
    <row r="177" ht="15" customHeight="1" s="143">
      <c r="A177" s="9" t="inlineStr">
        <is>
          <t xml:space="preserve">   a. Tax depreciation (MACRS/bonus)</t>
        </is>
      </c>
      <c r="H177" s="84">
        <f>H109</f>
        <v/>
      </c>
    </row>
    <row r="178" ht="15" customHeight="1" s="143">
      <c r="A178" s="9" t="inlineStr">
        <is>
          <t xml:space="preserve">   b. §179 deduction</t>
        </is>
      </c>
      <c r="H178" s="86">
        <f>H110</f>
        <v/>
      </c>
    </row>
    <row r="179" ht="15" customHeight="1" s="143">
      <c r="A179" s="201" t="inlineStr">
        <is>
          <t xml:space="preserve">   Total Line 6</t>
        </is>
      </c>
      <c r="H179" s="202">
        <f>SUM(H177:H178)</f>
        <v/>
      </c>
    </row>
    <row r="180" ht="15" customHeight="1" s="143">
      <c r="A180" s="65" t="inlineStr">
        <is>
          <t>Line 7: INCOME PER RETURN (Ln 4 + Ln 5 + Ln 6)</t>
        </is>
      </c>
      <c r="D180" s="66" t="n"/>
      <c r="E180" s="66" t="n"/>
      <c r="F180" s="66" t="n"/>
      <c r="G180" s="66" t="n"/>
      <c r="H180" s="39">
        <f>H171+H175+H179</f>
        <v/>
      </c>
      <c r="I180" s="66" t="n"/>
      <c r="J180" s="66" t="n"/>
    </row>
    <row r="181">
      <c r="A181" s="88" t="inlineStr">
        <is>
          <t>CHECK: M-1 Line 7 should equal sum of all Schedule K income items</t>
        </is>
      </c>
    </row>
  </sheetData>
  <mergeCells count="6">
    <mergeCell ref="A62:H62"/>
    <mergeCell ref="A3:H3"/>
    <mergeCell ref="A2:H2"/>
    <mergeCell ref="A138:H138"/>
    <mergeCell ref="A1:H1"/>
    <mergeCell ref="A6:H6"/>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J52"/>
  <sheetViews>
    <sheetView zoomScaleNormal="100" workbookViewId="0">
      <pane ySplit="6" topLeftCell="A7" activePane="bottomLeft" state="frozen"/>
      <selection pane="bottomLeft" activeCell="A1" sqref="A1:J1"/>
    </sheetView>
  </sheetViews>
  <sheetFormatPr baseColWidth="8" defaultColWidth="8.7109375" defaultRowHeight="15"/>
  <cols>
    <col width="8" customWidth="1" style="143" min="1" max="1"/>
    <col width="40" customWidth="1" style="143" min="2" max="2"/>
    <col width="28" customWidth="1" style="143" min="3" max="3"/>
    <col width="42" customWidth="1" style="143" min="4" max="4"/>
    <col width="16" customWidth="1" style="143" min="5" max="7"/>
    <col width="22" customWidth="1" style="143" min="8" max="8"/>
    <col width="12" customWidth="1" style="143" min="9" max="9"/>
    <col width="55" customWidth="1" style="143" min="10" max="10"/>
  </cols>
  <sheetData>
    <row r="1" ht="17.25" customHeight="1" s="143">
      <c r="A1" s="166" t="inlineStr">
        <is>
          <t>[ENTITY NAME] — Adjusting Journal Entries</t>
        </is>
      </c>
    </row>
    <row r="2" ht="15" customHeight="1" s="143">
      <c r="A2" s="168" t="inlineStr">
        <is>
          <t>Form 1120-S / 1065 — Tax Year Ended November 30, 2025</t>
        </is>
      </c>
    </row>
    <row r="3" ht="15" customHeight="1" s="143">
      <c r="A3" s="149" t="inlineStr">
        <is>
          <t>[ENTITY NAME] — EIN: [XX-XXXXXXX]</t>
        </is>
      </c>
    </row>
    <row r="4" ht="27.75" customHeight="1" s="143">
      <c r="A4" s="167" t="inlineStr">
        <is>
          <t>Each AJE represents one adjustment from the client's books (PBC) to the tax return. Yellow = document you need from client or workpapers. Green = verified/complete.</t>
        </is>
      </c>
    </row>
    <row r="5" ht="15" customHeight="1" s="143"/>
    <row r="6" ht="42" customHeight="1" s="143">
      <c r="A6" s="18" t="inlineStr">
        <is>
          <t>AJE #</t>
        </is>
      </c>
      <c r="B6" s="18" t="inlineStr">
        <is>
          <t>Adjustment Description</t>
        </is>
      </c>
      <c r="C6" s="18" t="inlineStr">
        <is>
          <t>PBC Account / Reference</t>
        </is>
      </c>
      <c r="D6" s="18" t="inlineStr">
        <is>
          <t>Document Needed
(Get This →)</t>
        </is>
      </c>
      <c r="E6" s="18" t="inlineStr">
        <is>
          <t>DR
Amount</t>
        </is>
      </c>
      <c r="F6" s="18" t="inlineStr">
        <is>
          <t>CR
Amount</t>
        </is>
      </c>
      <c r="G6" s="18" t="inlineStr">
        <is>
          <t>Net Effect
on Taxable Inc</t>
        </is>
      </c>
      <c r="H6" s="18" t="inlineStr">
        <is>
          <t>Ties To
(Return Line)</t>
        </is>
      </c>
      <c r="I6" s="18" t="inlineStr">
        <is>
          <t>WTB
Row</t>
        </is>
      </c>
      <c r="J6" s="18" t="inlineStr">
        <is>
          <t>Status / Preparer Notes</t>
        </is>
      </c>
    </row>
    <row r="7" ht="15" customHeight="1" s="143">
      <c r="A7" s="176" t="n"/>
      <c r="B7" s="176" t="inlineStr">
        <is>
          <t>SECTION 1: SEPARATELY STATED INCOME ITEMS (Book → Schedule K)</t>
        </is>
      </c>
      <c r="C7" s="176" t="n"/>
      <c r="D7" s="176" t="n"/>
      <c r="E7" s="176" t="n"/>
      <c r="F7" s="176" t="n"/>
      <c r="G7" s="176" t="n"/>
      <c r="H7" s="176" t="n"/>
      <c r="I7" s="176" t="n"/>
      <c r="J7" s="176" t="n"/>
    </row>
    <row r="8" ht="60" customHeight="1" s="143">
      <c r="A8" s="25" t="inlineStr">
        <is>
          <t>AJE-01</t>
        </is>
      </c>
      <c r="B8" s="33" t="inlineStr">
        <is>
          <t>Reclassify equipment rental income to Sch K Ln 3</t>
        </is>
      </c>
      <c r="C8" s="26" t="inlineStr">
        <is>
          <t>4020 · Equipment Rental
PBC P&amp;L r9</t>
        </is>
      </c>
      <c r="D8" s="26" t="inlineStr">
        <is>
          <t>Rental agreement / lease contract showing rental activity. Need to split gross income ($85K) and expenses ($35K) for K Ln 3a/3b.</t>
        </is>
      </c>
      <c r="E8" s="34">
        <f>IF('Strategy Inputs'!C7&lt;&gt;"",'Strategy Inputs'!C7,'Strategy Inputs'!D7)</f>
        <v/>
      </c>
      <c r="F8" s="34">
        <f>E8</f>
        <v/>
      </c>
      <c r="G8" s="34" t="n">
        <v>0</v>
      </c>
      <c r="H8" s="26" t="inlineStr">
        <is>
          <t>Sch K Ln 3a (income)
Sch K Ln 3b (expenses)</t>
        </is>
      </c>
      <c r="I8" s="33" t="inlineStr">
        <is>
          <t>WTB r66</t>
        </is>
      </c>
      <c r="J8" s="26" t="inlineStr">
        <is>
          <t>Reclass only — removes from Pg 1 gross receipts, moves to K Ln 3. Net effect on taxable income = $0. Also need rental expense detail for Ln 3b ($35K). Verify rental is equipment, NOT real estate (real estate → Form 8825).</t>
        </is>
      </c>
    </row>
    <row r="9" ht="45" customHeight="1" s="143">
      <c r="A9" s="19" t="inlineStr">
        <is>
          <t>AJE-02</t>
        </is>
      </c>
      <c r="B9" s="35" t="inlineStr">
        <is>
          <t>Reclassify interest income to Sch K Ln 4</t>
        </is>
      </c>
      <c r="C9" s="20" t="inlineStr">
        <is>
          <t>7000 · Interest Income
PBC P&amp;L r53</t>
        </is>
      </c>
      <c r="D9" s="36" t="inlineStr">
        <is>
          <t>1099-INT from bank(s). Verify amount matches PBC. If multiple banks, sum all 1099-INTs.</t>
        </is>
      </c>
      <c r="E9" s="37">
        <f>IF('Strategy Inputs'!C9&lt;&gt;"",'Strategy Inputs'!C9,'Strategy Inputs'!D9)</f>
        <v/>
      </c>
      <c r="F9" s="37">
        <f>E9</f>
        <v/>
      </c>
      <c r="G9" s="37" t="n">
        <v>0</v>
      </c>
      <c r="H9" s="20" t="inlineStr">
        <is>
          <t>Sch K Ln 4 / K-1 Box 4</t>
        </is>
      </c>
      <c r="I9" s="35" t="inlineStr">
        <is>
          <t>WTB r68</t>
        </is>
      </c>
      <c r="J9" s="20" t="inlineStr">
        <is>
          <t>Reclass from other income to separately stated. Must match 1099-INT(s). If client has multiple bank accounts, reconcile each.</t>
        </is>
      </c>
    </row>
    <row r="10" ht="49.5" customHeight="1" s="143">
      <c r="A10" s="25" t="inlineStr">
        <is>
          <t>AJE-03</t>
        </is>
      </c>
      <c r="B10" s="33" t="inlineStr">
        <is>
          <t>Reclassify dividend income to Sch K Ln 5a/5b</t>
        </is>
      </c>
      <c r="C10" s="26" t="inlineStr">
        <is>
          <t>7010 · Dividend Income
PBC P&amp;L r54</t>
        </is>
      </c>
      <c r="D10" s="26" t="inlineStr">
        <is>
          <t>1099-DIV from brokerage. CRITICAL: Need Box 1b (qualified dividends) for K Ln 5b. Total ordinary = Ln 5a, qualified subset = Ln 5b.</t>
        </is>
      </c>
      <c r="E10" s="34">
        <f>IF('Strategy Inputs'!C10&lt;&gt;"",'Strategy Inputs'!C10,'Strategy Inputs'!D10)</f>
        <v/>
      </c>
      <c r="F10" s="34">
        <f>E10</f>
        <v/>
      </c>
      <c r="G10" s="34" t="n">
        <v>0</v>
      </c>
      <c r="H10" s="26" t="inlineStr">
        <is>
          <t>Sch K Ln 5a (total)
Sch K Ln 5b (qualified)</t>
        </is>
      </c>
      <c r="I10" s="33" t="inlineStr">
        <is>
          <t>WTB r69</t>
        </is>
      </c>
      <c r="J10" s="26" t="inlineStr">
        <is>
          <t>Ordinary dividends = $8,500 (Ln 5a). Qualified = $6,800 (Ln 5b — verify against 1099-DIV Box 1b). Qualified must be ≤ ordinary.</t>
        </is>
      </c>
    </row>
    <row r="11" ht="49.5" customHeight="1" s="143">
      <c r="A11" s="19" t="inlineStr">
        <is>
          <t>AJE-04</t>
        </is>
      </c>
      <c r="B11" s="35" t="inlineStr">
        <is>
          <t>Reclassify LTCG to Sch K Ln 8a</t>
        </is>
      </c>
      <c r="C11" s="20" t="inlineStr">
        <is>
          <t>7020 · Capital Gain
PBC P&amp;L r56</t>
        </is>
      </c>
      <c r="D11" s="36" t="inlineStr">
        <is>
          <t>1099-B from brokerage + Form 8949 / Schedule D. Need: purchase date, sale date, proceeds, cost basis for EACH transaction. Verify LTCG (held &gt;1 yr).</t>
        </is>
      </c>
      <c r="E11" s="37">
        <f>IF('Strategy Inputs'!C12&lt;&gt;"",'Strategy Inputs'!C12,'Strategy Inputs'!D12)</f>
        <v/>
      </c>
      <c r="F11" s="37">
        <f>E11</f>
        <v/>
      </c>
      <c r="G11" s="37" t="n">
        <v>0</v>
      </c>
      <c r="H11" s="20" t="inlineStr">
        <is>
          <t>Sch K Ln 8a / Sch D
Form 8949</t>
        </is>
      </c>
      <c r="I11" s="35" t="inlineStr">
        <is>
          <t>WTB r70</t>
        </is>
      </c>
      <c r="J11" s="20" t="inlineStr">
        <is>
          <t>$12K net LTCG. Need 1099-B for each sale. If any STCG, separate to K Ln 7. Watch for wash sale adjustments (1099-B Box 1g).</t>
        </is>
      </c>
    </row>
    <row r="12" ht="64.5" customHeight="1" s="143">
      <c r="A12" s="25" t="inlineStr">
        <is>
          <t>AJE-05</t>
        </is>
      </c>
      <c r="B12" s="33" t="inlineStr">
        <is>
          <t>Adjust equipment sale gain: book → tax (§1231/§1245 split)</t>
        </is>
      </c>
      <c r="C12" s="26" t="inlineStr">
        <is>
          <t>7030 · Gain on Sale
PBC P&amp;L r57</t>
        </is>
      </c>
      <c r="D12" s="26" t="inlineStr">
        <is>
          <t>Form 4797 + Fixed asset schedule. Need: original cost, date placed in service, date sold, sale price, tax accum depr (MACRS). §1245 recapture portion vs §1231 gain.</t>
        </is>
      </c>
      <c r="E12" s="34">
        <f>IF('Strategy Inputs'!C13&lt;&gt;"",'Strategy Inputs'!C13,'Strategy Inputs'!D13)</f>
        <v/>
      </c>
      <c r="F12" s="34">
        <f>E12</f>
        <v/>
      </c>
      <c r="G12" s="34">
        <f>E12-F12</f>
        <v/>
      </c>
      <c r="H12" s="26" t="inlineStr">
        <is>
          <t>Form 4797
Sch K Ln 9 (§1231)
Pg 1 Ln 4 (§1245)</t>
        </is>
      </c>
      <c r="I12" s="33" t="inlineStr">
        <is>
          <t>WTB r71</t>
        </is>
      </c>
      <c r="J12" s="26" t="inlineStr">
        <is>
          <t>Book gain $15K. Tax split: $10K §1245 recapture (stays on Pg 1) + $5K §1231 gain (→ K Ln 9). Need TAX cost basis and TAX accum depr — book depr differs from MACRS. Form 4797 required.</t>
        </is>
      </c>
    </row>
    <row r="13" ht="15" customHeight="1" s="143">
      <c r="A13" s="176" t="n"/>
      <c r="B13" s="176" t="inlineStr">
        <is>
          <t>SECTION 2: NONDEDUCTIBLE EXPENSES (Book Expense → $0 or Partial on Return)</t>
        </is>
      </c>
      <c r="C13" s="176" t="n"/>
      <c r="D13" s="176" t="n"/>
      <c r="E13" s="176" t="n"/>
      <c r="F13" s="176" t="n"/>
      <c r="G13" s="176" t="n"/>
      <c r="H13" s="176" t="n"/>
      <c r="I13" s="176" t="n"/>
      <c r="J13" s="176" t="n"/>
    </row>
    <row r="14" ht="60" customHeight="1" s="143">
      <c r="A14" s="19" t="inlineStr">
        <is>
          <t>AJE-06</t>
        </is>
      </c>
      <c r="B14" s="35" t="inlineStr">
        <is>
          <t>&gt;2% Shareholder health insurance — remove from Pg 1 deductions</t>
        </is>
      </c>
      <c r="C14" s="20" t="inlineStr">
        <is>
          <t>6031 · Officer Health Ins
PBC P&amp;L r24</t>
        </is>
      </c>
      <c r="D14" s="36" t="inlineStr">
        <is>
          <t>Health insurance invoices/premiums paid for &gt;2% SHs. Amount must be added to officers' W-2 Box 1. Verify W-2 includes this amount. Officers deduct on personal 1040 Ln 17.</t>
        </is>
      </c>
      <c r="E14" s="37">
        <f>IF('Strategy Inputs'!C20&lt;&gt;"",'Strategy Inputs'!C20,'Strategy Inputs'!D20)</f>
        <v/>
      </c>
      <c r="F14" s="37" t="n">
        <v>0</v>
      </c>
      <c r="G14" s="37">
        <f>E14</f>
        <v/>
      </c>
      <c r="H14" s="20" t="inlineStr">
        <is>
          <t>M-1 Ln 3b
K Ln 16c (nondeductible)
W-2 Box 1</t>
        </is>
      </c>
      <c r="I14" s="35" t="inlineStr">
        <is>
          <t>WTB r91</t>
        </is>
      </c>
      <c r="J14" s="20" t="inlineStr">
        <is>
          <t>NOT deducted on 1120-S. Added to officer W-2 Box 1 (not Box 12, Code DD). Officer deducts on personal 1040 Schedule 1, Line 17. Verify payroll company added it correctly.</t>
        </is>
      </c>
    </row>
    <row r="15" ht="64.5" customHeight="1" s="143">
      <c r="A15" s="25" t="inlineStr">
        <is>
          <t>AJE-07</t>
        </is>
      </c>
      <c r="B15" s="33" t="inlineStr">
        <is>
          <t>Meals — 50% disallowance (book $18K → tax deduction $9K)</t>
        </is>
      </c>
      <c r="C15" s="26" t="inlineStr">
        <is>
          <t>6300 · Business Meals
PBC P&amp;L r32</t>
        </is>
      </c>
      <c r="D15" s="26" t="inlineStr">
        <is>
          <t>Meal receipts / expense reports. Verify ALL are business meals with business purpose documented (who, what, where, why). Restaurant vs non-restaurant distinction no longer matters post-2022.</t>
        </is>
      </c>
      <c r="E15" s="34">
        <f>IF('Strategy Inputs'!C21&lt;&gt;"",'Strategy Inputs'!C21,'Strategy Inputs'!D21)</f>
        <v/>
      </c>
      <c r="F15" s="34" t="n">
        <v>0</v>
      </c>
      <c r="G15" s="34">
        <f>E15</f>
        <v/>
      </c>
      <c r="H15" s="26" t="inlineStr">
        <is>
          <t>Pg 1 Ln 19 (50% deductible)
M-1 Ln 3c (50% addback)
K Ln 16c (nondeductible)</t>
        </is>
      </c>
      <c r="I15" s="33" t="inlineStr">
        <is>
          <t>WTB r99</t>
        </is>
      </c>
      <c r="J15" s="26" t="inlineStr">
        <is>
          <t>$18K book × 50% = $9K deductible on Pg 1 Ln 19 + $9K nondeductible on M-1/K Ln 16c. The 50% deductible portion stays on Pg 1. The 50% disallowed is the M-1 addback.</t>
        </is>
      </c>
    </row>
    <row r="16" ht="54.75" customHeight="1" s="143">
      <c r="A16" s="19" t="inlineStr">
        <is>
          <t>AJE-08</t>
        </is>
      </c>
      <c r="B16" s="35" t="inlineStr">
        <is>
          <t>Entertainment — 100% disallowed (book $12K → tax $0)</t>
        </is>
      </c>
      <c r="C16" s="20" t="inlineStr">
        <is>
          <t>6310 · Entertainment
PBC P&amp;L r33</t>
        </is>
      </c>
      <c r="D16" s="36" t="inlineStr">
        <is>
          <t>Entertainment receipts. Verify client properly separates meals AT entertainment events (those meals ARE 50% deductible). Pure entertainment = 100% nondeductible post-TCJA.</t>
        </is>
      </c>
      <c r="E16" s="37">
        <f>IF('Strategy Inputs'!C22&lt;&gt;"",'Strategy Inputs'!C22,'Strategy Inputs'!D22)</f>
        <v/>
      </c>
      <c r="F16" s="37" t="n">
        <v>0</v>
      </c>
      <c r="G16" s="37">
        <f>E16</f>
        <v/>
      </c>
      <c r="H16" s="20" t="inlineStr">
        <is>
          <t>M-1 Ln 3d
K Ln 16c (nondeductible)</t>
        </is>
      </c>
      <c r="I16" s="35" t="inlineStr">
        <is>
          <t>WTB r100</t>
        </is>
      </c>
      <c r="J16" s="20" t="inlineStr">
        <is>
          <t>$0 on return. Full addback. Ask client: did any "entertainment" include separately invoiced food? If so, food portion is 50% deductible.</t>
        </is>
      </c>
    </row>
    <row r="17" ht="54.75" customHeight="1" s="143">
      <c r="A17" s="25" t="inlineStr">
        <is>
          <t>AJE-09</t>
        </is>
      </c>
      <c r="B17" s="33" t="inlineStr">
        <is>
          <t>Charitable contributions — remove from Pg 1, separately state on K Ln 12a</t>
        </is>
      </c>
      <c r="C17" s="26" t="inlineStr">
        <is>
          <t>6900 · Charitable
PBC P&amp;L r45</t>
        </is>
      </c>
      <c r="D17" s="26" t="inlineStr">
        <is>
          <t>Donation receipts / acknowledgment letters. Cash &gt;$250 needs written acknowledgment. Noncash &gt;$500 needs Form 8283. Verify all are to qualified §501(c)(3) organizations.</t>
        </is>
      </c>
      <c r="E17" s="34">
        <f>IF('Strategy Inputs'!C17&lt;&gt;"",'Strategy Inputs'!C17,'Strategy Inputs'!D17)</f>
        <v/>
      </c>
      <c r="F17" s="34" t="n">
        <v>0</v>
      </c>
      <c r="G17" s="34">
        <f>E17</f>
        <v/>
      </c>
      <c r="H17" s="26" t="inlineStr">
        <is>
          <t>K Ln 12a / K-1 Box 12A
M-1 Ln 3e</t>
        </is>
      </c>
      <c r="I17" s="33" t="inlineStr">
        <is>
          <t>WTB r114</t>
        </is>
      </c>
      <c r="J17" s="28" t="inlineStr">
        <is>
          <t>ADDBACK — removed from entity Pg 1 deductions. Separately stated on K Ln 12a, flows to SH personal Sch A. From M-1 perspective, this is a Ln 3 addback. SH deducts on personal return subject to AGI limits.</t>
        </is>
      </c>
    </row>
    <row r="18" ht="45" customHeight="1" s="143">
      <c r="A18" s="19" t="inlineStr">
        <is>
          <t>AJE-10</t>
        </is>
      </c>
      <c r="B18" s="35" t="inlineStr">
        <is>
          <t>Political contributions — 100% nondeductible</t>
        </is>
      </c>
      <c r="C18" s="20" t="inlineStr">
        <is>
          <t>6910 · Political
PBC P&amp;L r46</t>
        </is>
      </c>
      <c r="D18" s="36" t="inlineStr">
        <is>
          <t>Cancelled checks / bank statements showing payment to political organizations, PACs, lobbying firms. No supporting receipt needed — just verify amounts.</t>
        </is>
      </c>
      <c r="E18" s="37">
        <f>IF('Strategy Inputs'!C23&lt;&gt;"",'Strategy Inputs'!C23,'Strategy Inputs'!D23)</f>
        <v/>
      </c>
      <c r="F18" s="37" t="n">
        <v>0</v>
      </c>
      <c r="G18" s="37">
        <f>E18</f>
        <v/>
      </c>
      <c r="H18" s="20" t="inlineStr">
        <is>
          <t>M-1 Ln 3f
K Ln 16c (nondeductible)</t>
        </is>
      </c>
      <c r="I18" s="35" t="inlineStr">
        <is>
          <t>WTB r115</t>
        </is>
      </c>
      <c r="J18" s="20" t="inlineStr">
        <is>
          <t>$0 on return. §162(e) — political and lobbying expenses are permanently nondeductible. Reduces SH basis via K Ln 16c.</t>
        </is>
      </c>
    </row>
    <row r="19" ht="49.5" customHeight="1" s="143">
      <c r="A19" s="25" t="inlineStr">
        <is>
          <t>AJE-11</t>
        </is>
      </c>
      <c r="B19" s="33" t="inlineStr">
        <is>
          <t>Penalties &amp; fines — 100% nondeductible</t>
        </is>
      </c>
      <c r="C19" s="26" t="inlineStr">
        <is>
          <t>6920 · Penalties
PBC P&amp;L r47</t>
        </is>
      </c>
      <c r="D19" s="26" t="inlineStr">
        <is>
          <t>Penalty notices / invoices. Check if any are "restitution" payments — those MAY be deductible under §162(f) exception. Get the actual notice to determine.</t>
        </is>
      </c>
      <c r="E19" s="34">
        <f>IF('Strategy Inputs'!C24&lt;&gt;"",'Strategy Inputs'!C24,'Strategy Inputs'!D24)</f>
        <v/>
      </c>
      <c r="F19" s="34" t="n">
        <v>0</v>
      </c>
      <c r="G19" s="34">
        <f>E19</f>
        <v/>
      </c>
      <c r="H19" s="26" t="inlineStr">
        <is>
          <t>M-1 Ln 3g
K Ln 16c</t>
        </is>
      </c>
      <c r="I19" s="33" t="inlineStr">
        <is>
          <t>WTB r116</t>
        </is>
      </c>
      <c r="J19" s="26" t="inlineStr">
        <is>
          <t>§162(f) — fines/penalties paid to government for violation of law = nondeductible. Exception: amounts for restitution or compliance. Get the actual penalty letter.</t>
        </is>
      </c>
    </row>
    <row r="20" ht="49.5" customHeight="1" s="143">
      <c r="A20" s="19" t="inlineStr">
        <is>
          <t>AJE-12</t>
        </is>
      </c>
      <c r="B20" s="35" t="inlineStr">
        <is>
          <t>Life insurance premiums (corp beneficiary) — nondeductible</t>
        </is>
      </c>
      <c r="C20" s="20" t="inlineStr">
        <is>
          <t>6930 · Life Insurance
PBC P&amp;L r48</t>
        </is>
      </c>
      <c r="D20" s="36" t="inlineStr">
        <is>
          <t>Insurance policy + premium statement. CRITICAL: Verify corp is beneficiary (not SH). If SH is beneficiary, it's compensation — different treatment entirely (add to W-2).</t>
        </is>
      </c>
      <c r="E20" s="37">
        <f>IF('Strategy Inputs'!C25&lt;&gt;"",'Strategy Inputs'!C25,'Strategy Inputs'!D25)</f>
        <v/>
      </c>
      <c r="F20" s="37" t="n">
        <v>0</v>
      </c>
      <c r="G20" s="37">
        <f>E20</f>
        <v/>
      </c>
      <c r="H20" s="20" t="inlineStr">
        <is>
          <t>M-1 Ln 3h
K Ln 16c</t>
        </is>
      </c>
      <c r="I20" s="35" t="inlineStr">
        <is>
          <t>WTB r117</t>
        </is>
      </c>
      <c r="J20" s="20" t="inlineStr">
        <is>
          <t>§264(a)(1) — premiums on policies where corp is beneficiary are nondeductible. If proceeds received, they're tax-exempt (§101) → K Ln 16b / OAA.</t>
        </is>
      </c>
    </row>
    <row r="21" ht="49.5" customHeight="1" s="143">
      <c r="A21" s="25" t="inlineStr">
        <is>
          <t>AJE-13</t>
        </is>
      </c>
      <c r="B21" s="33" t="inlineStr">
        <is>
          <t>Club dues (country club) — nondeductible</t>
        </is>
      </c>
      <c r="C21" s="26" t="inlineStr">
        <is>
          <t>6940 · Club Dues
PBC P&amp;L r49</t>
        </is>
      </c>
      <c r="D21" s="26" t="inlineStr">
        <is>
          <t>Club membership invoices / statements. NOTE: meals consumed at the club are SEPARATELY deductible at 50%. Ask client to split if not already separated in books.</t>
        </is>
      </c>
      <c r="E21" s="34">
        <f>IF('Strategy Inputs'!C26&lt;&gt;"",'Strategy Inputs'!C26,'Strategy Inputs'!D26)</f>
        <v/>
      </c>
      <c r="F21" s="34" t="n">
        <v>0</v>
      </c>
      <c r="G21" s="34">
        <f>E21</f>
        <v/>
      </c>
      <c r="H21" s="26" t="inlineStr">
        <is>
          <t>M-1 Ln 3i
K Ln 16c</t>
        </is>
      </c>
      <c r="I21" s="33" t="inlineStr">
        <is>
          <t>WTB r118</t>
        </is>
      </c>
      <c r="J21" s="26" t="inlineStr">
        <is>
          <t>§274(a)(3) — club dues nondeductible since 1993. Country clubs, social clubs, athletic clubs, airline clubs. Ask: any separate meal charges billed by the club?</t>
        </is>
      </c>
    </row>
    <row r="22" ht="15" customHeight="1" s="143">
      <c r="A22" s="176" t="n"/>
      <c r="B22" s="176" t="inlineStr">
        <is>
          <t>SECTION 3: DEPRECIATION — BOOK TO TAX (Most Common Adjustment)</t>
        </is>
      </c>
      <c r="C22" s="176" t="n"/>
      <c r="D22" s="176" t="n"/>
      <c r="E22" s="176" t="n"/>
      <c r="F22" s="176" t="n"/>
      <c r="G22" s="176" t="n"/>
      <c r="H22" s="176" t="n"/>
      <c r="I22" s="176" t="n"/>
      <c r="J22" s="176" t="n"/>
    </row>
    <row r="23" ht="49.5" customHeight="1" s="143">
      <c r="A23" s="19" t="inlineStr">
        <is>
          <t>AJE-14</t>
        </is>
      </c>
      <c r="B23" s="35" t="inlineStr">
        <is>
          <t>Remove ALL book depreciation (replaced by tax MACRS)</t>
        </is>
      </c>
      <c r="C23" s="20" t="inlineStr">
        <is>
          <t>6510-6620 · Book Depr
PBC P&amp;L r38-41</t>
        </is>
      </c>
      <c r="D23" s="36" t="inlineStr">
        <is>
          <t>Book depreciation schedule / fixed asset report from client's accounting system. Verify total matches PBC: Vehicle $8K + FF&amp;E $22K + Computers $18K + LHI $12K = $60K.</t>
        </is>
      </c>
      <c r="E23" s="37">
        <f>IF('Strategy Inputs'!C29&lt;&gt;"",'Strategy Inputs'!C29,'Strategy Inputs'!D29)</f>
        <v/>
      </c>
      <c r="F23" s="37" t="n">
        <v>0</v>
      </c>
      <c r="G23" s="37">
        <f>E23</f>
        <v/>
      </c>
      <c r="H23" s="20" t="inlineStr">
        <is>
          <t>M-1 Ln 3a (addback)
Removed from Pg 1</t>
        </is>
      </c>
      <c r="I23" s="35" t="inlineStr">
        <is>
          <t>WTB r105-108</t>
        </is>
      </c>
      <c r="J23" s="20" t="inlineStr">
        <is>
          <t>Book SL depr is REMOVED. Tax MACRS (AJE-15) replaces it. Net difference = M-1 adjustment. Verify book schedule ties to PBC exactly.</t>
        </is>
      </c>
    </row>
    <row r="24" ht="54.75" customHeight="1" s="143">
      <c r="A24" s="25" t="inlineStr">
        <is>
          <t>AJE-15</t>
        </is>
      </c>
      <c r="B24" s="33" t="inlineStr">
        <is>
          <t>Add tax depreciation — MACRS / bonus (Form 4562)</t>
        </is>
      </c>
      <c r="C24" s="26" t="inlineStr">
        <is>
          <t>Form 4562
Tax depr software</t>
        </is>
      </c>
      <c r="D24" s="26" t="inlineStr">
        <is>
          <t>Form 4562 (Depreciation &amp; Amortization). Run tax depreciation software (CCH, Lacerte, UltraTax). Need asset-by-asset detail: cost, date in service, method (200DB/150DB/SL), convention, life, prior depr.</t>
        </is>
      </c>
      <c r="E24" s="34" t="n">
        <v>0</v>
      </c>
      <c r="F24" s="34">
        <f>'Strategy Inputs'!C30</f>
        <v/>
      </c>
      <c r="G24" s="186" t="n"/>
      <c r="H24" s="26" t="inlineStr">
        <is>
          <t>Form 4562
Pg 1 Ln 14
M-1 Ln 6a</t>
        </is>
      </c>
      <c r="I24" s="33" t="inlineStr">
        <is>
          <t>WTB r109</t>
        </is>
      </c>
      <c r="J24" s="26" t="inlineStr">
        <is>
          <t>$75K MACRS replaces $60K book depr. Net extra deduction = $15K. AJE-14 + AJE-15 together = net depreciation timing difference. Form 4562 is the support.</t>
        </is>
      </c>
    </row>
    <row r="25" ht="54.75" customHeight="1" s="143">
      <c r="A25" s="19" t="inlineStr">
        <is>
          <t>AJE-16</t>
        </is>
      </c>
      <c r="B25" s="35" t="inlineStr">
        <is>
          <t>§179 immediate expensing (Form 4562 Part I)</t>
        </is>
      </c>
      <c r="C25" s="20" t="inlineStr">
        <is>
          <t>Form 4562 Part I
Election on return</t>
        </is>
      </c>
      <c r="D25" s="36" t="inlineStr">
        <is>
          <t>Form 4562 Part I. Asset must be §179 eligible (tangible personal property, off-the-shelf software, qualified improvement property). Need asset ID, cost, date placed in service.</t>
        </is>
      </c>
      <c r="E25" s="37" t="n">
        <v>0</v>
      </c>
      <c r="F25" s="37">
        <f>'Strategy Inputs'!C31</f>
        <v/>
      </c>
      <c r="G25" s="186" t="n"/>
      <c r="H25" s="20" t="inlineStr">
        <is>
          <t>K Ln 11 / K-1 Box 11
Form 4562 Part I
M-1 Ln 6b</t>
        </is>
      </c>
      <c r="I25" s="35" t="inlineStr">
        <is>
          <t>WTB r110</t>
        </is>
      </c>
      <c r="J25" s="20" t="inlineStr">
        <is>
          <t>$17K §179. Separately stated on K (not on Pg 1). Subject to business income limitation at SH level. 2024 limit = $1,220,000. Phase-out begins at $3,050,000.</t>
        </is>
      </c>
    </row>
    <row r="26" ht="15" customHeight="1" s="143">
      <c r="A26" s="176" t="n"/>
      <c r="B26" s="176" t="inlineStr">
        <is>
          <t>SECTION 4: TAX-EXEMPT &amp; BOOK-ONLY ITEMS (Remove from Taxable Income)</t>
        </is>
      </c>
      <c r="C26" s="176" t="n"/>
      <c r="D26" s="176" t="n"/>
      <c r="E26" s="176" t="n"/>
      <c r="F26" s="176" t="n"/>
      <c r="G26" s="176" t="n"/>
      <c r="H26" s="176" t="n"/>
      <c r="I26" s="176" t="n"/>
      <c r="J26" s="176" t="n"/>
    </row>
    <row r="27" ht="49.5" customHeight="1" s="143">
      <c r="A27" s="25" t="inlineStr">
        <is>
          <t>AJE-17</t>
        </is>
      </c>
      <c r="B27" s="33" t="inlineStr">
        <is>
          <t>Tax-exempt municipal bond interest — remove from taxable income</t>
        </is>
      </c>
      <c r="C27" s="26" t="inlineStr">
        <is>
          <t>7200 · Tax-Exempt Muni
PBC P&amp;L r60</t>
        </is>
      </c>
      <c r="D27" s="26" t="inlineStr">
        <is>
          <t>1099-INT Box 8 (tax-exempt interest) from brokerage / bond custodian. Also check Box 9 for AMT-specific muni interest (private activity bonds).</t>
        </is>
      </c>
      <c r="E27" s="34">
        <f>IF('Strategy Inputs'!C15&lt;&gt;"",'Strategy Inputs'!C15,'Strategy Inputs'!D15)</f>
        <v/>
      </c>
      <c r="F27" s="34" t="n">
        <v>0</v>
      </c>
      <c r="G27" s="34">
        <f>-E27</f>
        <v/>
      </c>
      <c r="H27" s="26" t="inlineStr">
        <is>
          <t>K Ln 16a / K-1 Box 16A
M-1 Ln 5a
M-2 → OAA</t>
        </is>
      </c>
      <c r="I27" s="33" t="inlineStr">
        <is>
          <t>WTB r72</t>
        </is>
      </c>
      <c r="J27" s="26" t="inlineStr">
        <is>
          <t>On books as income, NOT on tax return. Increases SH basis (7203) and goes to OAA (not AAA) on M-2. Verify against 1099-INT Box 8.</t>
        </is>
      </c>
    </row>
    <row r="28" ht="54.75" customHeight="1" s="143">
      <c r="A28" s="19" t="inlineStr">
        <is>
          <t>AJE-18</t>
        </is>
      </c>
      <c r="B28" s="35" t="inlineStr">
        <is>
          <t>Unrealized gain on investments — remove (book only, not realized for tax)</t>
        </is>
      </c>
      <c r="C28" s="20" t="inlineStr">
        <is>
          <t>7300 · Unrealized Gain
PBC P&amp;L r61</t>
        </is>
      </c>
      <c r="D28" s="36" t="inlineStr">
        <is>
          <t>Brokerage statement showing beginning vs ending market value. Verify this is unrealized (not sold). If client uses mark-to-market accounting, need year-end portfolio valuation.</t>
        </is>
      </c>
      <c r="E28" s="37">
        <f>IF('Strategy Inputs'!C16&lt;&gt;"",'Strategy Inputs'!C16,'Strategy Inputs'!D16)</f>
        <v/>
      </c>
      <c r="F28" s="37" t="n">
        <v>0</v>
      </c>
      <c r="G28" s="37">
        <f>-E28</f>
        <v/>
      </c>
      <c r="H28" s="20" t="inlineStr">
        <is>
          <t>M-1 Ln 5b
No return line</t>
        </is>
      </c>
      <c r="I28" s="35" t="inlineStr">
        <is>
          <t>WTB r73</t>
        </is>
      </c>
      <c r="J28" s="20" t="inlineStr">
        <is>
          <t>GAAP requires mark-to-market; tax doesn't recognize until sold. This reverses when positions are eventually sold. Track cumulative unrealized for Sch L book vs tax difference.</t>
        </is>
      </c>
    </row>
    <row r="29" ht="15" customHeight="1" s="143"/>
    <row r="30" ht="15" customHeight="1" s="143">
      <c r="A30" s="176" t="n"/>
      <c r="B30" s="176" t="inlineStr">
        <is>
          <t>SECTION 5: ADDITIONAL DOCUMENTS NEEDED (Not AJEs — Support for Return)</t>
        </is>
      </c>
      <c r="C30" s="176" t="n"/>
      <c r="D30" s="176" t="n"/>
      <c r="E30" s="176" t="n"/>
      <c r="F30" s="176" t="n"/>
      <c r="G30" s="176" t="n"/>
      <c r="H30" s="176" t="n"/>
      <c r="I30" s="176" t="n"/>
      <c r="J30" s="176" t="n"/>
    </row>
    <row r="31" ht="54.75" customHeight="1" s="143">
      <c r="A31" s="25" t="inlineStr">
        <is>
          <t>DOC-01</t>
        </is>
      </c>
      <c r="B31" s="33" t="inlineStr">
        <is>
          <t>Officer compensation — reasonable comp analysis</t>
        </is>
      </c>
      <c r="C31" s="26" t="inlineStr">
        <is>
          <t>Payroll records / W-2s / ADP report</t>
        </is>
      </c>
      <c r="D31" s="26" t="inlineStr">
        <is>
          <t>W-2s for all officers (Principal Shareholder $95K, — $65K). Pg 1 Ln 7/8. Verify comp is "reasonable" — IRS scrutinizes S-corp officer comp heavily.</t>
        </is>
      </c>
      <c r="E31" s="33" t="n"/>
      <c r="F31" s="33" t="n"/>
      <c r="G31" s="33" t="n"/>
      <c r="H31" s="26" t="inlineStr">
        <is>
          <t>Pg 1 Ln 7-8</t>
        </is>
      </c>
      <c r="I31" s="33" t="n"/>
      <c r="J31" s="33" t="n"/>
    </row>
    <row r="32" ht="54.75" customHeight="1" s="143">
      <c r="A32" s="19" t="inlineStr">
        <is>
          <t>DOC-02</t>
        </is>
      </c>
      <c r="B32" s="35" t="inlineStr">
        <is>
          <t>Payroll tax summary</t>
        </is>
      </c>
      <c r="C32" s="20" t="inlineStr">
        <is>
          <t>Form 941 (quarterly) / W-3 / state returns</t>
        </is>
      </c>
      <c r="D32" s="36" t="inlineStr">
        <is>
          <t>Annual W-3, quarterly 941s. Tie total wages to P&amp;L. Verify payroll taxes match 941 filings. Also need for §199A W-2 wages (K-1 Box 17W).</t>
        </is>
      </c>
      <c r="E32" s="35" t="n"/>
      <c r="F32" s="35" t="n"/>
      <c r="G32" s="35" t="n"/>
      <c r="H32" s="20" t="inlineStr">
        <is>
          <t>Pg 1 Ln 8 / K-1 Box 17W</t>
        </is>
      </c>
      <c r="I32" s="35" t="n"/>
      <c r="J32" s="35" t="n"/>
    </row>
    <row r="33" ht="54.75" customHeight="1" s="143">
      <c r="A33" s="25" t="inlineStr">
        <is>
          <t>DOC-03</t>
        </is>
      </c>
      <c r="B33" s="33" t="inlineStr">
        <is>
          <t>Vehicle use log / mileage records</t>
        </is>
      </c>
      <c r="C33" s="26" t="inlineStr">
        <is>
          <t>IRS mileage log or fleet tracking</t>
        </is>
      </c>
      <c r="D33" s="26" t="inlineStr">
        <is>
          <t>If claiming actual expenses, need business use %. If &gt;50% business, MACRS allowed. If ≤50%, must use SL. Listed property rules apply. Form 4562 Part V.</t>
        </is>
      </c>
      <c r="E33" s="33" t="n"/>
      <c r="F33" s="33" t="n"/>
      <c r="G33" s="33" t="n"/>
      <c r="H33" s="26" t="inlineStr">
        <is>
          <t>Form 4562 Part V</t>
        </is>
      </c>
      <c r="I33" s="33" t="n"/>
      <c r="J33" s="33" t="n"/>
    </row>
    <row r="34" ht="54.75" customHeight="1" s="143">
      <c r="A34" s="19" t="inlineStr">
        <is>
          <t>DOC-04</t>
        </is>
      </c>
      <c r="B34" s="35" t="inlineStr">
        <is>
          <t>Loan amortization schedule(s)</t>
        </is>
      </c>
      <c r="C34" s="20" t="inlineStr">
        <is>
          <t>Bank statements / amort schedules</t>
        </is>
      </c>
      <c r="D34" s="36" t="inlineStr">
        <is>
          <t>LOC and vehicle loan: beginning balance, payments, interest, ending balance. Verify interest expense on P&amp;L ($8,200 LOC + $2,400 vehicle = $10,600 per PBC).</t>
        </is>
      </c>
      <c r="E34" s="35" t="n"/>
      <c r="F34" s="35" t="n"/>
      <c r="G34" s="35" t="n"/>
      <c r="H34" s="20" t="inlineStr">
        <is>
          <t>Pg 1 Ln 13 / Sch L</t>
        </is>
      </c>
      <c r="I34" s="35" t="n"/>
      <c r="J34" s="35" t="n"/>
    </row>
    <row r="35" ht="54.75" customHeight="1" s="143">
      <c r="A35" s="25" t="inlineStr">
        <is>
          <t>DOC-05</t>
        </is>
      </c>
      <c r="B35" s="33" t="inlineStr">
        <is>
          <t>Prior-year tax return (complete)</t>
        </is>
      </c>
      <c r="C35" s="26" t="inlineStr">
        <is>
          <t>1120-S + all schedules + K-1s</t>
        </is>
      </c>
      <c r="D35" s="26" t="inlineStr">
        <is>
          <t>CRITICAL: Need prior-year Sch L ending balances (→ this year BOY), prior-year 7203 ending basis, prior-year AAA/OAA balances. Without this, multiple tabs cannot be completed.</t>
        </is>
      </c>
      <c r="E35" s="33" t="n"/>
      <c r="F35" s="33" t="n"/>
      <c r="G35" s="33" t="n"/>
      <c r="H35" s="26" t="inlineStr">
        <is>
          <t>Sch L BOY / M-2 BOY / 7203 Ln 1</t>
        </is>
      </c>
      <c r="I35" s="33" t="n"/>
      <c r="J35" s="33" t="n"/>
    </row>
    <row r="36" ht="54.75" customHeight="1" s="143">
      <c r="A36" s="19" t="inlineStr">
        <is>
          <t>DOC-06</t>
        </is>
      </c>
      <c r="B36" s="35" t="inlineStr">
        <is>
          <t>Fixed asset / depreciation schedule</t>
        </is>
      </c>
      <c r="C36" s="20" t="inlineStr">
        <is>
          <t>Tax depreciation software output</t>
        </is>
      </c>
      <c r="D36" s="36" t="inlineStr">
        <is>
          <t>Complete asset list with tax basis, MACRS method, convention, life, prior depr, current depr. Drives Form 4562 and Sch L fixed assets. Verify disposals.</t>
        </is>
      </c>
      <c r="E36" s="35" t="n"/>
      <c r="F36" s="35" t="n"/>
      <c r="G36" s="35" t="n"/>
      <c r="H36" s="20" t="inlineStr">
        <is>
          <t>Form 4562 / Sch L Ln 10</t>
        </is>
      </c>
      <c r="I36" s="35" t="n"/>
      <c r="J36" s="35" t="n"/>
    </row>
    <row r="37" ht="54.75" customHeight="1" s="143">
      <c r="A37" s="25" t="inlineStr">
        <is>
          <t>DOC-07</t>
        </is>
      </c>
      <c r="B37" s="33" t="inlineStr">
        <is>
          <t>Distribution records</t>
        </is>
      </c>
      <c r="C37" s="26" t="inlineStr">
        <is>
          <t>Board minutes / bank records</t>
        </is>
      </c>
      <c r="D37" s="26" t="inlineStr">
        <is>
          <t>Dates and amounts of each distribution to each SH. Verify J ($180K) + S ($120K) = $300K total. Pro rata to ownership? If not, risk second class of stock issue.</t>
        </is>
      </c>
      <c r="E37" s="33" t="n"/>
      <c r="F37" s="33" t="n"/>
      <c r="G37" s="33" t="n"/>
      <c r="H37" s="26" t="inlineStr">
        <is>
          <t>K Ln 16d / M-2 / 7203</t>
        </is>
      </c>
      <c r="I37" s="33" t="n"/>
      <c r="J37" s="33" t="n"/>
    </row>
    <row r="38" ht="54.75" customHeight="1" s="143">
      <c r="A38" s="19" t="inlineStr">
        <is>
          <t>DOC-08</t>
        </is>
      </c>
      <c r="B38" s="35" t="inlineStr">
        <is>
          <t>Shareholder loan documentation</t>
        </is>
      </c>
      <c r="C38" s="20" t="inlineStr">
        <is>
          <t>Promissory note / repayment records</t>
        </is>
      </c>
      <c r="D38" s="36" t="inlineStr">
        <is>
          <t>Principal Shareholder $25K loan: note terms, interest rate, repayment schedule. Is there economic substance? Bona fide debt for 7203 debt basis? Below-market interest → §7872 imputed interest.</t>
        </is>
      </c>
      <c r="E38" s="35" t="n"/>
      <c r="F38" s="35" t="n"/>
      <c r="G38" s="35" t="n"/>
      <c r="H38" s="20" t="inlineStr">
        <is>
          <t>7203 Part II / Sch L Ln 19</t>
        </is>
      </c>
      <c r="I38" s="35" t="n"/>
      <c r="J38" s="35" t="n"/>
    </row>
    <row r="39" ht="54.75" customHeight="1" s="143">
      <c r="A39" s="25" t="inlineStr">
        <is>
          <t>DOC-09</t>
        </is>
      </c>
      <c r="B39" s="33" t="inlineStr">
        <is>
          <t>Entity-level state returns / estimates</t>
        </is>
      </c>
      <c r="C39" s="26" t="inlineStr">
        <is>
          <t>State return info / estimate payments</t>
        </is>
      </c>
      <c r="D39" s="26" t="inlineStr">
        <is>
          <t>Some states have entity-level taxes (e.g., CA $800 min franchise tax, PTE elections). Get state filing requirements and any estimated tax payments.</t>
        </is>
      </c>
      <c r="E39" s="33" t="n"/>
      <c r="F39" s="33" t="n"/>
      <c r="G39" s="33" t="n"/>
      <c r="H39" s="26" t="inlineStr">
        <is>
          <t>State returns</t>
        </is>
      </c>
      <c r="I39" s="33" t="n"/>
      <c r="J39" s="33" t="n"/>
    </row>
    <row r="40" ht="54.75" customHeight="1" s="143">
      <c r="A40" s="19" t="inlineStr">
        <is>
          <t>DOC-10</t>
        </is>
      </c>
      <c r="B40" s="35" t="inlineStr">
        <is>
          <t>§199A qualified business income info</t>
        </is>
      </c>
      <c r="C40" s="20" t="inlineStr">
        <is>
          <t>QBI worksheets</t>
        </is>
      </c>
      <c r="D40" s="36" t="inlineStr">
        <is>
          <t>For each SH: QBI (usually = OBI), W-2 wages, UBIA of qualified property. SH takes 20% deduction on personal return. Need to report on K-1 Box 17 codes V/W/X.</t>
        </is>
      </c>
      <c r="E40" s="35" t="n"/>
      <c r="F40" s="35" t="n"/>
      <c r="G40" s="35" t="n"/>
      <c r="H40" s="20" t="inlineStr">
        <is>
          <t>K-1 Box 17V/W/X</t>
        </is>
      </c>
      <c r="I40" s="35" t="n"/>
      <c r="J40" s="35" t="n"/>
    </row>
    <row r="41" ht="15" customHeight="1" s="143"/>
    <row r="42" ht="15" customHeight="1" s="143">
      <c r="A42" s="176" t="n"/>
      <c r="B42" s="176" t="inlineStr">
        <is>
          <t>CHECKSUM — AJE NET EFFECT PROOF</t>
        </is>
      </c>
      <c r="C42" s="176" t="n"/>
      <c r="D42" s="176" t="n"/>
      <c r="E42" s="176" t="n"/>
      <c r="F42" s="176" t="n"/>
      <c r="G42" s="176" t="n"/>
      <c r="H42" s="176" t="n"/>
      <c r="I42" s="176" t="n"/>
      <c r="J42" s="176" t="n"/>
    </row>
    <row r="43" ht="15" customHeight="1" s="143">
      <c r="B43" s="173" t="inlineStr">
        <is>
          <t>Total DR (all AJEs)</t>
        </is>
      </c>
      <c r="E43" s="32">
        <f>SUM(E8:E28)</f>
        <v/>
      </c>
    </row>
    <row r="44" ht="15" customHeight="1" s="143">
      <c r="B44" s="173" t="inlineStr">
        <is>
          <t>Total CR (all AJEs)</t>
        </is>
      </c>
      <c r="F44" s="32">
        <f>SUM(F8:F28)</f>
        <v/>
      </c>
    </row>
    <row r="45" ht="15" customHeight="1" s="143">
      <c r="B45" s="173" t="inlineStr">
        <is>
          <t>Net effect on taxable income (sum of Col G)</t>
        </is>
      </c>
      <c r="G45" s="32">
        <f>SUM(G8:G28)</f>
        <v/>
      </c>
    </row>
    <row r="46" ht="15" customHeight="1" s="143">
      <c r="B46" s="173" t="inlineStr">
        <is>
          <t>Book NI per PBC</t>
        </is>
      </c>
      <c r="G46" s="38">
        <f>'P&amp;L'!B63</f>
        <v/>
      </c>
    </row>
    <row r="47" ht="15" customHeight="1" s="143">
      <c r="B47" s="173" t="inlineStr">
        <is>
          <t>Book NI + Net AJE effect = should approach income per return</t>
        </is>
      </c>
      <c r="G47" s="39">
        <f>G46+G45</f>
        <v/>
      </c>
    </row>
    <row r="48" ht="15" customHeight="1" s="143">
      <c r="B48" s="173" t="inlineStr">
        <is>
          <t>Income per return (WTB M-1 Ln 7)</t>
        </is>
      </c>
      <c r="G48" s="38">
        <f>'Working Trial Balance'!F168</f>
        <v/>
      </c>
    </row>
    <row r="49" ht="15" customHeight="1" s="143">
      <c r="B49" s="173" t="inlineStr">
        <is>
          <t>Variance (AJE proof − M-1 Ln 7)</t>
        </is>
      </c>
      <c r="G49" s="38">
        <f>G47-G48</f>
        <v/>
      </c>
      <c r="H49" s="173">
        <f>IF(G49=0,"✓ TIES","✗ OFF — check AJEs vs WTB")</f>
        <v/>
      </c>
    </row>
    <row r="50" ht="15" customHeight="1" s="143"/>
    <row r="51" ht="27.75" customHeight="1" s="143">
      <c r="A51" s="169" t="inlineStr">
        <is>
          <t>NOTE: The AJE proof ties to the M-1 bridge (Book NI + addbacks + removals + tax depr adjustments = income per return). Reclassifications from Pg 1 to Sch K show net $0. Addbacks (nondeductibles + items separately stated on K) show positive. Tax deductions not on books show negative.</t>
        </is>
      </c>
    </row>
    <row r="52" ht="27.75" customHeight="1" s="143">
      <c r="A52" s="167" t="inlineStr">
        <is>
          <t>For a 1065 (partnership): Same adjustments apply. Replace 'Sch K Ln' references with 1065 Sch K lines. Replace 'K-1 Box' with 1065 K-1 boxes. Replace M-2 (AAA/OAA) with partners' capital account analysis.</t>
        </is>
      </c>
    </row>
  </sheetData>
  <mergeCells count="6">
    <mergeCell ref="A1:J1"/>
    <mergeCell ref="A3:J3"/>
    <mergeCell ref="A4:J4"/>
    <mergeCell ref="A2:J2"/>
    <mergeCell ref="A52:J52"/>
    <mergeCell ref="A51:J51"/>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H77"/>
  <sheetViews>
    <sheetView zoomScaleNormal="100" workbookViewId="0">
      <pane ySplit="9" topLeftCell="A25" activePane="bottomLeft" state="frozen"/>
      <selection pane="bottomLeft" activeCell="C16" sqref="C16"/>
    </sheetView>
  </sheetViews>
  <sheetFormatPr baseColWidth="8" defaultColWidth="8.7109375" defaultRowHeight="15"/>
  <cols>
    <col width="12" customWidth="1" style="143" min="1" max="1"/>
    <col width="48" customWidth="1" style="143" min="2" max="2"/>
    <col width="22" customWidth="1" style="143" min="3" max="3"/>
    <col width="16" customWidth="1" style="143" min="4" max="4"/>
    <col width="14" customWidth="1" style="143" min="5" max="5"/>
    <col hidden="1" width="18" customWidth="1" style="143" min="6" max="6"/>
    <col width="18" customWidth="1" style="143" min="7" max="7"/>
    <col width="50" customWidth="1" style="143" min="8" max="8"/>
  </cols>
  <sheetData>
    <row r="1" ht="17.25" customHeight="1" s="143">
      <c r="A1" s="166" t="inlineStr">
        <is>
          <t>[ENTITY NAME] — Schedule K — Shareholders' Pro Rata Share Items</t>
        </is>
      </c>
    </row>
    <row r="2" ht="15" customHeight="1" s="143">
      <c r="A2" s="168" t="inlineStr">
        <is>
          <t>Tax Year Ended [MM/DD/YYYY]</t>
        </is>
      </c>
    </row>
    <row r="3" ht="15" customHeight="1" s="143">
      <c r="A3" s="149" t="inlineStr">
        <is>
          <t>[ENTITY NAME] (S-Corp) — EIN: [XX-XXXXXXX]</t>
        </is>
      </c>
    </row>
    <row r="4" ht="15" customHeight="1" s="143"/>
    <row r="5" ht="15" customHeight="1" s="143">
      <c r="A5" s="171" t="inlineStr">
        <is>
          <t>SHAREHOLDER OWNERSHIP</t>
        </is>
      </c>
    </row>
    <row r="6" ht="15" customHeight="1" s="143">
      <c r="A6" s="173" t="inlineStr">
        <is>
          <t>Shareholder</t>
        </is>
      </c>
      <c r="B6" s="168" t="inlineStr">
        <is>
          <t>Principal Shareholder (100%)</t>
        </is>
      </c>
      <c r="C6" s="168" t="inlineStr">
        <is>
          <t>— (N/A)</t>
        </is>
      </c>
    </row>
    <row r="7" ht="15" customHeight="1" s="143">
      <c r="A7" s="173" t="inlineStr">
        <is>
          <t>[SH1 Name] — Ownership %</t>
        </is>
      </c>
      <c r="B7" s="197" t="inlineStr">
        <is>
          <t>1</t>
        </is>
      </c>
      <c r="C7" s="44" t="n">
        <v>0</v>
      </c>
    </row>
    <row r="8" ht="15" customHeight="1" s="143"/>
    <row r="9" ht="15" customHeight="1" s="143">
      <c r="A9" s="18" t="inlineStr">
        <is>
          <t>K Line</t>
        </is>
      </c>
      <c r="B9" s="18" t="inlineStr">
        <is>
          <t>Description</t>
        </is>
      </c>
      <c r="C9" s="18" t="inlineStr">
        <is>
          <t>WTB Row / Source</t>
        </is>
      </c>
      <c r="D9" s="18" t="inlineStr">
        <is>
          <t>Amount</t>
        </is>
      </c>
      <c r="E9" s="18" t="inlineStr">
        <is>
          <t>K-1 Box</t>
        </is>
      </c>
      <c r="F9" s="18" t="inlineStr">
        <is>
          <t>Principal Shareholder (100%)</t>
        </is>
      </c>
      <c r="G9" s="18" t="inlineStr">
        <is>
          <t>— (N/A)</t>
        </is>
      </c>
      <c r="H9" s="18" t="inlineStr">
        <is>
          <t>Notes / Typical Items</t>
        </is>
      </c>
    </row>
    <row r="10" ht="15" customHeight="1" s="143">
      <c r="A10" s="176" t="n"/>
      <c r="B10" s="176" t="inlineStr">
        <is>
          <t>INCOME (LOSS)</t>
        </is>
      </c>
      <c r="C10" s="176" t="n"/>
      <c r="D10" s="176" t="n"/>
      <c r="E10" s="176" t="n"/>
      <c r="F10" s="176" t="n"/>
      <c r="G10" s="176" t="n"/>
      <c r="H10" s="176" t="n"/>
    </row>
    <row r="11" ht="15" customHeight="1" s="143">
      <c r="A11" s="25" t="inlineStr">
        <is>
          <t>1</t>
        </is>
      </c>
      <c r="B11" s="33" t="inlineStr">
        <is>
          <t>Ordinary business income (loss)</t>
        </is>
      </c>
      <c r="C11" s="26" t="inlineStr">
        <is>
          <t>WTB r136, Col D</t>
        </is>
      </c>
      <c r="D11" s="34">
        <f>'Working Trial Balance'!F155</f>
        <v/>
      </c>
      <c r="E11" s="25" t="inlineStr">
        <is>
          <t>Box 1</t>
        </is>
      </c>
      <c r="F11" s="34">
        <f>D11*B7</f>
        <v/>
      </c>
      <c r="G11" s="34">
        <f>D11*C7</f>
        <v/>
      </c>
      <c r="H11" s="26" t="inlineStr">
        <is>
          <t>Pg 1, Ln 21 → K Ln 1. Same amount.</t>
        </is>
      </c>
    </row>
    <row r="12" ht="15" customHeight="1" s="143">
      <c r="A12" s="19" t="inlineStr">
        <is>
          <t>2</t>
        </is>
      </c>
      <c r="B12" s="35" t="inlineStr">
        <is>
          <t>Net rental real estate income (loss)</t>
        </is>
      </c>
      <c r="C12" s="20" t="inlineStr">
        <is>
          <t>Form 8825</t>
        </is>
      </c>
      <c r="D12" s="45" t="n"/>
      <c r="E12" s="19" t="inlineStr">
        <is>
          <t>Box 2</t>
        </is>
      </c>
      <c r="F12" s="35" t="n"/>
      <c r="G12" s="35" t="n"/>
      <c r="H12" s="46" t="inlineStr">
        <is>
          <t>⚠ MANUALLY ENTER — From Form 8825 if applicable</t>
        </is>
      </c>
    </row>
    <row r="13" ht="27.75" customHeight="1" s="143">
      <c r="A13" s="25" t="inlineStr">
        <is>
          <t>3a</t>
        </is>
      </c>
      <c r="B13" s="33" t="inlineStr">
        <is>
          <t>Net rental income — other (gross income)</t>
        </is>
      </c>
      <c r="C13" s="26" t="inlineStr">
        <is>
          <t>WTB r66 (−C66)</t>
        </is>
      </c>
      <c r="D13" s="34">
        <f>-'Working Trial Balance'!C66</f>
        <v/>
      </c>
      <c r="E13" s="25" t="inlineStr">
        <is>
          <t>Box 3</t>
        </is>
      </c>
      <c r="F13" s="34">
        <f>D13*B7</f>
        <v/>
      </c>
      <c r="G13" s="34">
        <f>D13*C7</f>
        <v/>
      </c>
      <c r="H13" s="26" t="inlineStr">
        <is>
          <t>Rental income moved from Pg 1 to K. Desert Peak: $85K equipment rental.</t>
        </is>
      </c>
    </row>
    <row r="14" ht="27.75" customHeight="1" s="143">
      <c r="A14" s="19" t="inlineStr">
        <is>
          <t>3b</t>
        </is>
      </c>
      <c r="B14" s="35" t="inlineStr">
        <is>
          <t>Net rental income — other (expenses)</t>
        </is>
      </c>
      <c r="C14" s="20" t="inlineStr">
        <is>
          <t>WTB r121</t>
        </is>
      </c>
      <c r="D14" s="37">
        <f>'Working Trial Balance'!D121*-1</f>
        <v/>
      </c>
      <c r="E14" s="19" t="inlineStr">
        <is>
          <t>Box 3</t>
        </is>
      </c>
      <c r="F14" s="37">
        <f>D14*B7</f>
        <v/>
      </c>
      <c r="G14" s="37">
        <f>D14*C7</f>
        <v/>
      </c>
      <c r="H14" s="20" t="inlineStr">
        <is>
          <t>Rental expenses. Desert Peak: $35K equipment rental expense.</t>
        </is>
      </c>
    </row>
    <row r="15" ht="27.75" customHeight="1" s="143">
      <c r="A15" s="47" t="inlineStr">
        <is>
          <t>3c</t>
        </is>
      </c>
      <c r="B15" s="8" t="inlineStr">
        <is>
          <t>Net rental income — other (net)</t>
        </is>
      </c>
      <c r="C15" s="48" t="inlineStr">
        <is>
          <t>Ln 3a + Ln 3b</t>
        </is>
      </c>
      <c r="D15" s="49">
        <f>D13+D14</f>
        <v/>
      </c>
      <c r="E15" s="47" t="inlineStr">
        <is>
          <t>Box 3</t>
        </is>
      </c>
      <c r="F15" s="49">
        <f>D15*B7</f>
        <v/>
      </c>
      <c r="G15" s="49">
        <f>D15*C7</f>
        <v/>
      </c>
      <c r="H15" s="48" t="inlineStr">
        <is>
          <t>Net = income − expenses. Should tie to M-2 AAA rental line.</t>
        </is>
      </c>
    </row>
    <row r="16" ht="27.75" customHeight="1" s="143">
      <c r="A16" s="19" t="inlineStr">
        <is>
          <t>4</t>
        </is>
      </c>
      <c r="B16" s="35" t="inlineStr">
        <is>
          <t>Interest income</t>
        </is>
      </c>
      <c r="C16" s="20" t="inlineStr">
        <is>
          <t>WTB r68 (−C68)</t>
        </is>
      </c>
      <c r="D16" s="37">
        <f>'Working Trial Balance'!F133</f>
        <v/>
      </c>
      <c r="E16" s="19" t="inlineStr">
        <is>
          <t>Box 4</t>
        </is>
      </c>
      <c r="F16" s="37">
        <f>D16*B7</f>
        <v/>
      </c>
      <c r="G16" s="37">
        <f>D16*C7</f>
        <v/>
      </c>
      <c r="H16" s="20" t="inlineStr">
        <is>
          <t>Bank interest, etc. Removed from Pg 1, separately stated on K.</t>
        </is>
      </c>
    </row>
    <row r="17" ht="15" customHeight="1" s="143">
      <c r="A17" s="25" t="inlineStr">
        <is>
          <t>5a</t>
        </is>
      </c>
      <c r="B17" s="33" t="inlineStr">
        <is>
          <t>Ordinary dividends</t>
        </is>
      </c>
      <c r="C17" s="26" t="inlineStr">
        <is>
          <t>WTB r69 (−C69)</t>
        </is>
      </c>
      <c r="D17" s="186" t="n"/>
      <c r="E17" s="25" t="inlineStr">
        <is>
          <t>Box 5a</t>
        </is>
      </c>
      <c r="F17" s="34">
        <f>D17*B7</f>
        <v/>
      </c>
      <c r="G17" s="34">
        <f>D17*C7</f>
        <v/>
      </c>
      <c r="H17" s="26" t="inlineStr">
        <is>
          <t>All dividends. Qualified portion goes to 5b.</t>
        </is>
      </c>
    </row>
    <row r="18" ht="23.25" customHeight="1" s="143">
      <c r="A18" s="19" t="inlineStr">
        <is>
          <t>5b</t>
        </is>
      </c>
      <c r="B18" s="35" t="inlineStr">
        <is>
          <t>Qualified dividends</t>
        </is>
      </c>
      <c r="C18" s="20" t="inlineStr">
        <is>
          <t>PBC / 1099-DIV</t>
        </is>
      </c>
      <c r="D18" s="186" t="n"/>
      <c r="E18" s="19" t="inlineStr">
        <is>
          <t>Box 5b</t>
        </is>
      </c>
      <c r="F18" s="37">
        <f>D18*B7</f>
        <v/>
      </c>
      <c r="G18" s="37">
        <f>D18*C7</f>
        <v/>
      </c>
      <c r="H18" s="46" t="inlineStr">
        <is>
          <t>⚠ MANUALLY ENTER — Verify against 1099-DIV. Must be ≤ Line 5a.</t>
        </is>
      </c>
    </row>
    <row r="19" ht="15" customHeight="1" s="143">
      <c r="A19" s="25" t="inlineStr">
        <is>
          <t>6</t>
        </is>
      </c>
      <c r="B19" s="33" t="inlineStr">
        <is>
          <t>Royalties</t>
        </is>
      </c>
      <c r="C19" s="26" t="n"/>
      <c r="D19" s="34" t="n"/>
      <c r="E19" s="25" t="inlineStr">
        <is>
          <t>Box 6</t>
        </is>
      </c>
      <c r="F19" s="33" t="n"/>
      <c r="G19" s="33" t="n"/>
      <c r="H19" s="26" t="inlineStr">
        <is>
          <t>Oil/gas, intellectual property, etc.</t>
        </is>
      </c>
    </row>
    <row r="20" ht="15" customHeight="1" s="143">
      <c r="A20" s="19" t="inlineStr">
        <is>
          <t>7</t>
        </is>
      </c>
      <c r="B20" s="35" t="inlineStr">
        <is>
          <t>Net short-term capital gain (loss)</t>
        </is>
      </c>
      <c r="C20" s="20" t="inlineStr">
        <is>
          <t>Form 8949 / Sch D</t>
        </is>
      </c>
      <c r="D20" s="37">
        <f>'Working Trial Balance'!F135</f>
        <v/>
      </c>
      <c r="E20" s="19" t="inlineStr">
        <is>
          <t>Box 7</t>
        </is>
      </c>
      <c r="F20" s="35" t="n"/>
      <c r="G20" s="35" t="n"/>
      <c r="H20" s="20" t="inlineStr">
        <is>
          <t>From Sch D. Holding period ≤ 1 year.</t>
        </is>
      </c>
    </row>
    <row r="21" ht="15" customHeight="1" s="143">
      <c r="A21" s="25" t="inlineStr">
        <is>
          <t>8a</t>
        </is>
      </c>
      <c r="B21" s="33" t="inlineStr">
        <is>
          <t>Net long-term capital gain (loss)</t>
        </is>
      </c>
      <c r="C21" s="26" t="inlineStr">
        <is>
          <t>WTB r70 (−C70)</t>
        </is>
      </c>
      <c r="D21" s="34">
        <f>-'Working Trial Balance'!C70</f>
        <v/>
      </c>
      <c r="E21" s="25" t="inlineStr">
        <is>
          <t>Box 8a</t>
        </is>
      </c>
      <c r="F21" s="34">
        <f>D21*B7</f>
        <v/>
      </c>
      <c r="G21" s="34">
        <f>D21*C7</f>
        <v/>
      </c>
      <c r="H21" s="26" t="inlineStr">
        <is>
          <t>From Sch D. Desert Peak: $12K LTCG from stock sales.</t>
        </is>
      </c>
    </row>
    <row r="22" ht="15" customHeight="1" s="143">
      <c r="A22" s="19" t="inlineStr">
        <is>
          <t>8b</t>
        </is>
      </c>
      <c r="B22" s="35" t="inlineStr">
        <is>
          <t>Collectibles (28%) gain (loss)</t>
        </is>
      </c>
      <c r="C22" s="20" t="n"/>
      <c r="D22" s="37" t="n"/>
      <c r="E22" s="19" t="inlineStr">
        <is>
          <t>Box 8b</t>
        </is>
      </c>
      <c r="F22" s="35" t="n"/>
      <c r="G22" s="35" t="n"/>
      <c r="H22" s="20" t="inlineStr">
        <is>
          <t>Art, antiques, precious metals, etc.</t>
        </is>
      </c>
    </row>
    <row r="23" ht="27.75" customHeight="1" s="143">
      <c r="A23" s="25" t="inlineStr">
        <is>
          <t>8c</t>
        </is>
      </c>
      <c r="B23" s="33" t="inlineStr">
        <is>
          <t>Unrecaptured §1250 gain</t>
        </is>
      </c>
      <c r="C23" s="26" t="n"/>
      <c r="D23" s="34" t="n"/>
      <c r="E23" s="25" t="inlineStr">
        <is>
          <t>Box 8c</t>
        </is>
      </c>
      <c r="F23" s="33" t="n"/>
      <c r="G23" s="33" t="n"/>
      <c r="H23" s="26" t="inlineStr">
        <is>
          <t>Gain on sale of depreciable real property. From Form 4797.</t>
        </is>
      </c>
    </row>
    <row r="24" ht="27.75" customHeight="1" s="143">
      <c r="A24" s="19" t="inlineStr">
        <is>
          <t>9</t>
        </is>
      </c>
      <c r="B24" s="35" t="inlineStr">
        <is>
          <t>Net §1231 gain (loss)</t>
        </is>
      </c>
      <c r="C24" s="20" t="inlineStr">
        <is>
          <t>WTB r71 (−C71)</t>
        </is>
      </c>
      <c r="D24" s="37">
        <f>-'Working Trial Balance'!C71</f>
        <v/>
      </c>
      <c r="E24" s="19" t="inlineStr">
        <is>
          <t>Box 9</t>
        </is>
      </c>
      <c r="F24" s="37">
        <f>D24*B7</f>
        <v/>
      </c>
      <c r="G24" s="37">
        <f>D24*C7</f>
        <v/>
      </c>
      <c r="H24" s="20" t="inlineStr">
        <is>
          <t>From Form 4797. Desert Peak: $5K §1231 portion of equipment sale.</t>
        </is>
      </c>
    </row>
    <row r="25" ht="15" customHeight="1" s="143">
      <c r="A25" s="25" t="inlineStr">
        <is>
          <t>10</t>
        </is>
      </c>
      <c r="B25" s="33" t="inlineStr">
        <is>
          <t>Other income (loss)</t>
        </is>
      </c>
      <c r="C25" s="26" t="n"/>
      <c r="D25" s="34" t="n"/>
      <c r="E25" s="25" t="inlineStr">
        <is>
          <t>Box 10</t>
        </is>
      </c>
      <c r="F25" s="33" t="n"/>
      <c r="G25" s="33" t="n"/>
      <c r="H25" s="26" t="inlineStr">
        <is>
          <t>Cancellation of debt, gambling, etc. Attach statement.</t>
        </is>
      </c>
    </row>
    <row r="26" ht="15" customHeight="1" s="143">
      <c r="A26" s="176" t="n"/>
      <c r="B26" s="176" t="inlineStr">
        <is>
          <t>DEDUCTIONS</t>
        </is>
      </c>
      <c r="C26" s="176" t="n"/>
      <c r="D26" s="176" t="n"/>
      <c r="E26" s="176" t="n"/>
      <c r="F26" s="176" t="n"/>
      <c r="G26" s="176" t="n"/>
      <c r="H26" s="176" t="n"/>
    </row>
    <row r="27" ht="27.75" customHeight="1" s="143">
      <c r="A27" s="25" t="inlineStr">
        <is>
          <t>11</t>
        </is>
      </c>
      <c r="B27" s="33" t="inlineStr">
        <is>
          <t>§179 deduction</t>
        </is>
      </c>
      <c r="C27" s="26" t="inlineStr">
        <is>
          <t>WTB r110</t>
        </is>
      </c>
      <c r="D27" s="34">
        <f>'Working Trial Balance'!D110</f>
        <v/>
      </c>
      <c r="E27" s="25" t="inlineStr">
        <is>
          <t>Box 11</t>
        </is>
      </c>
      <c r="F27" s="34">
        <f>D27*B7</f>
        <v/>
      </c>
      <c r="G27" s="34">
        <f>D27*C7</f>
        <v/>
      </c>
      <c r="H27" s="26" t="inlineStr">
        <is>
          <t>From Form 4562. Desert Peak: $17K. Subject to business income limitation.</t>
        </is>
      </c>
    </row>
    <row r="28" ht="27.75" customHeight="1" s="143">
      <c r="A28" s="19" t="inlineStr">
        <is>
          <t>12a</t>
        </is>
      </c>
      <c r="B28" s="35" t="inlineStr">
        <is>
          <t>Charitable contributions</t>
        </is>
      </c>
      <c r="C28" s="20" t="inlineStr">
        <is>
          <t>WTB r114 (F col)</t>
        </is>
      </c>
      <c r="D28" s="37">
        <f>'Working Trial Balance'!F114</f>
        <v/>
      </c>
      <c r="E28" s="19" t="inlineStr">
        <is>
          <t>Box 12A</t>
        </is>
      </c>
      <c r="F28" s="37">
        <f>D28*B7</f>
        <v/>
      </c>
      <c r="G28" s="37">
        <f>D28*C7</f>
        <v/>
      </c>
      <c r="H28" s="20" t="inlineStr">
        <is>
          <t>Cash + noncash. 50%/30%/20% AGI limits apply at SH level. Desert Peak: $15K.</t>
        </is>
      </c>
    </row>
    <row r="29" ht="15" customHeight="1" s="143">
      <c r="A29" s="25" t="inlineStr">
        <is>
          <t>12b</t>
        </is>
      </c>
      <c r="B29" s="33" t="inlineStr">
        <is>
          <t>Investment interest expense</t>
        </is>
      </c>
      <c r="C29" s="26" t="n"/>
      <c r="D29" s="34" t="n"/>
      <c r="E29" s="25" t="inlineStr">
        <is>
          <t>Box 12H</t>
        </is>
      </c>
      <c r="F29" s="33" t="n"/>
      <c r="G29" s="33" t="n"/>
      <c r="H29" s="26" t="inlineStr">
        <is>
          <t>Form 4952 at SH level. Margin interest, etc.</t>
        </is>
      </c>
    </row>
    <row r="30" ht="27.75" customHeight="1" s="143">
      <c r="A30" s="19" t="inlineStr">
        <is>
          <t>12c(1)</t>
        </is>
      </c>
      <c r="B30" s="35" t="inlineStr">
        <is>
          <t>Net §59(e)(2) expenditures — Type</t>
        </is>
      </c>
      <c r="C30" s="20" t="n"/>
      <c r="D30" s="37" t="n"/>
      <c r="E30" s="19" t="inlineStr">
        <is>
          <t>Box 12I/J</t>
        </is>
      </c>
      <c r="F30" s="35" t="n"/>
      <c r="G30" s="35" t="n"/>
      <c r="H30" s="20" t="inlineStr">
        <is>
          <t>Intangible drilling, mining, research — SH can elect to amortize.</t>
        </is>
      </c>
    </row>
    <row r="31" ht="15" customHeight="1" s="143">
      <c r="A31" s="25" t="inlineStr">
        <is>
          <t>12c(2)</t>
        </is>
      </c>
      <c r="B31" s="33" t="inlineStr">
        <is>
          <t>Net §59(e)(2) expenditures — Amount</t>
        </is>
      </c>
      <c r="C31" s="26" t="n"/>
      <c r="D31" s="34" t="n"/>
      <c r="E31" s="25" t="inlineStr">
        <is>
          <t>Box 12I/J</t>
        </is>
      </c>
      <c r="F31" s="33" t="n"/>
      <c r="G31" s="33" t="n"/>
      <c r="H31" s="26" t="n"/>
    </row>
    <row r="32" ht="15" customHeight="1" s="143">
      <c r="A32" s="19" t="inlineStr">
        <is>
          <t>12d</t>
        </is>
      </c>
      <c r="B32" s="35" t="inlineStr">
        <is>
          <t>Other deductions</t>
        </is>
      </c>
      <c r="C32" s="20" t="n"/>
      <c r="D32" s="37" t="n"/>
      <c r="E32" s="19" t="inlineStr">
        <is>
          <t>Box 12</t>
        </is>
      </c>
      <c r="F32" s="35" t="n"/>
      <c r="G32" s="35" t="n"/>
      <c r="H32" s="20" t="inlineStr">
        <is>
          <t>Attach statement. Soil/water conservation, etc.</t>
        </is>
      </c>
    </row>
    <row r="33" ht="15" customHeight="1" s="143">
      <c r="A33" s="25" t="inlineStr">
        <is>
          <t>13a</t>
        </is>
      </c>
      <c r="B33" s="33" t="inlineStr">
        <is>
          <t>Low-income housing credit (§42(j)(5))</t>
        </is>
      </c>
      <c r="C33" s="26" t="n"/>
      <c r="D33" s="34" t="n"/>
      <c r="E33" s="25" t="inlineStr">
        <is>
          <t>Box 13A</t>
        </is>
      </c>
      <c r="F33" s="33" t="n"/>
      <c r="G33" s="33" t="n"/>
      <c r="H33" s="26" t="n"/>
    </row>
    <row r="34" ht="15" customHeight="1" s="143">
      <c r="A34" s="19" t="inlineStr">
        <is>
          <t>13b</t>
        </is>
      </c>
      <c r="B34" s="35" t="inlineStr">
        <is>
          <t>Low-income housing credit (other)</t>
        </is>
      </c>
      <c r="C34" s="20" t="n"/>
      <c r="D34" s="37" t="n"/>
      <c r="E34" s="19" t="inlineStr">
        <is>
          <t>Box 13B</t>
        </is>
      </c>
      <c r="F34" s="35" t="n"/>
      <c r="G34" s="35" t="n"/>
      <c r="H34" s="20" t="n"/>
    </row>
    <row r="35" ht="15" customHeight="1" s="143">
      <c r="A35" s="25" t="inlineStr">
        <is>
          <t>13c</t>
        </is>
      </c>
      <c r="B35" s="33" t="inlineStr">
        <is>
          <t>Qualified rehabilitation expenditures</t>
        </is>
      </c>
      <c r="C35" s="26" t="n"/>
      <c r="D35" s="34" t="n"/>
      <c r="E35" s="25" t="inlineStr">
        <is>
          <t>Box 13C</t>
        </is>
      </c>
      <c r="F35" s="33" t="n"/>
      <c r="G35" s="33" t="n"/>
      <c r="H35" s="26" t="n"/>
    </row>
    <row r="36" ht="15" customHeight="1" s="143">
      <c r="A36" s="19" t="inlineStr">
        <is>
          <t>13d</t>
        </is>
      </c>
      <c r="B36" s="35" t="inlineStr">
        <is>
          <t>Other rental real estate credits</t>
        </is>
      </c>
      <c r="C36" s="20" t="n"/>
      <c r="D36" s="37" t="n"/>
      <c r="E36" s="19" t="inlineStr">
        <is>
          <t>Box 13D</t>
        </is>
      </c>
      <c r="F36" s="35" t="n"/>
      <c r="G36" s="35" t="n"/>
      <c r="H36" s="20" t="n"/>
    </row>
    <row r="37" ht="15" customHeight="1" s="143">
      <c r="A37" s="25" t="inlineStr">
        <is>
          <t>13e</t>
        </is>
      </c>
      <c r="B37" s="33" t="inlineStr">
        <is>
          <t>Other rental credits</t>
        </is>
      </c>
      <c r="C37" s="26" t="n"/>
      <c r="D37" s="34" t="n"/>
      <c r="E37" s="25" t="inlineStr">
        <is>
          <t>Box 13E</t>
        </is>
      </c>
      <c r="F37" s="33" t="n"/>
      <c r="G37" s="33" t="n"/>
      <c r="H37" s="26" t="n"/>
    </row>
    <row r="38" ht="15" customHeight="1" s="143">
      <c r="A38" s="19" t="inlineStr">
        <is>
          <t>13f</t>
        </is>
      </c>
      <c r="B38" s="35" t="inlineStr">
        <is>
          <t>Biofuel producer credit</t>
        </is>
      </c>
      <c r="C38" s="20" t="n"/>
      <c r="D38" s="37" t="n"/>
      <c r="E38" s="19" t="inlineStr">
        <is>
          <t>Box 13F</t>
        </is>
      </c>
      <c r="F38" s="35" t="n"/>
      <c r="G38" s="35" t="n"/>
      <c r="H38" s="20" t="n"/>
    </row>
    <row r="39" ht="15" customHeight="1" s="143">
      <c r="A39" s="25" t="inlineStr">
        <is>
          <t>13g</t>
        </is>
      </c>
      <c r="B39" s="33" t="inlineStr">
        <is>
          <t>Other credits</t>
        </is>
      </c>
      <c r="C39" s="26" t="n"/>
      <c r="D39" s="34" t="n"/>
      <c r="E39" s="25" t="inlineStr">
        <is>
          <t>Box 13G</t>
        </is>
      </c>
      <c r="F39" s="33" t="n"/>
      <c r="G39" s="33" t="n"/>
      <c r="H39" s="26" t="inlineStr">
        <is>
          <t>R&amp;D credit (Form 6765), W.O.T.C., etc. Attach statement.</t>
        </is>
      </c>
    </row>
    <row r="40" ht="15" customHeight="1" s="143">
      <c r="A40" s="176" t="n"/>
      <c r="B40" s="176" t="inlineStr">
        <is>
          <t>FOREIGN TRANSACTIONS</t>
        </is>
      </c>
      <c r="C40" s="176" t="n"/>
      <c r="D40" s="176" t="n"/>
      <c r="E40" s="176" t="n"/>
      <c r="F40" s="176" t="n"/>
      <c r="G40" s="176" t="n"/>
      <c r="H40" s="176" t="n"/>
    </row>
    <row r="41" ht="15" customHeight="1" s="143">
      <c r="A41" s="19" t="inlineStr">
        <is>
          <t>14a</t>
        </is>
      </c>
      <c r="B41" s="35" t="inlineStr">
        <is>
          <t>Name of country or U.S. possession</t>
        </is>
      </c>
      <c r="C41" s="20" t="n"/>
      <c r="D41" s="37" t="n"/>
      <c r="E41" s="19" t="inlineStr">
        <is>
          <t>Box 14</t>
        </is>
      </c>
      <c r="F41" s="35" t="n"/>
      <c r="G41" s="35" t="n"/>
      <c r="H41" s="20" t="inlineStr">
        <is>
          <t>If foreign income/taxes paid</t>
        </is>
      </c>
    </row>
    <row r="42" ht="15" customHeight="1" s="143">
      <c r="A42" s="25" t="inlineStr">
        <is>
          <t>14b</t>
        </is>
      </c>
      <c r="B42" s="33" t="inlineStr">
        <is>
          <t>Gross income — general category</t>
        </is>
      </c>
      <c r="C42" s="26" t="n"/>
      <c r="D42" s="34" t="n"/>
      <c r="E42" s="25" t="inlineStr">
        <is>
          <t>Box 14</t>
        </is>
      </c>
      <c r="F42" s="33" t="n"/>
      <c r="G42" s="33" t="n"/>
      <c r="H42" s="26" t="n"/>
    </row>
    <row r="43" ht="15" customHeight="1" s="143">
      <c r="A43" s="19" t="inlineStr">
        <is>
          <t>14c</t>
        </is>
      </c>
      <c r="B43" s="35" t="inlineStr">
        <is>
          <t>Gross income — other</t>
        </is>
      </c>
      <c r="C43" s="20" t="n"/>
      <c r="D43" s="37" t="n"/>
      <c r="E43" s="19" t="inlineStr">
        <is>
          <t>Box 14</t>
        </is>
      </c>
      <c r="F43" s="35" t="n"/>
      <c r="G43" s="35" t="n"/>
      <c r="H43" s="20" t="n"/>
    </row>
    <row r="44" ht="15" customHeight="1" s="143">
      <c r="A44" s="25" t="inlineStr">
        <is>
          <t>14d</t>
        </is>
      </c>
      <c r="B44" s="33" t="inlineStr">
        <is>
          <t>Foreign taxes paid — general</t>
        </is>
      </c>
      <c r="C44" s="26" t="n"/>
      <c r="D44" s="34" t="n"/>
      <c r="E44" s="25" t="inlineStr">
        <is>
          <t>Box 14K</t>
        </is>
      </c>
      <c r="F44" s="33" t="n"/>
      <c r="G44" s="33" t="n"/>
      <c r="H44" s="26" t="n"/>
    </row>
    <row r="45" ht="15" customHeight="1" s="143">
      <c r="A45" s="19" t="inlineStr">
        <is>
          <t>14e</t>
        </is>
      </c>
      <c r="B45" s="35" t="inlineStr">
        <is>
          <t>Foreign taxes accrued — general</t>
        </is>
      </c>
      <c r="C45" s="20" t="n"/>
      <c r="D45" s="37" t="n"/>
      <c r="E45" s="19" t="inlineStr">
        <is>
          <t>Box 14L</t>
        </is>
      </c>
      <c r="F45" s="35" t="n"/>
      <c r="G45" s="35" t="n"/>
      <c r="H45" s="20" t="n"/>
    </row>
    <row r="46" ht="15" customHeight="1" s="143">
      <c r="A46" s="25" t="inlineStr">
        <is>
          <t>14f</t>
        </is>
      </c>
      <c r="B46" s="33" t="inlineStr">
        <is>
          <t>Reduction in taxes available for credit</t>
        </is>
      </c>
      <c r="C46" s="26" t="n"/>
      <c r="D46" s="34" t="n"/>
      <c r="E46" s="25" t="inlineStr">
        <is>
          <t>Box 14</t>
        </is>
      </c>
      <c r="F46" s="33" t="n"/>
      <c r="G46" s="33" t="n"/>
      <c r="H46" s="26" t="n"/>
    </row>
    <row r="47" ht="15" customHeight="1" s="143">
      <c r="A47" s="19" t="inlineStr">
        <is>
          <t>14g</t>
        </is>
      </c>
      <c r="B47" s="35" t="inlineStr">
        <is>
          <t>Other foreign tax information</t>
        </is>
      </c>
      <c r="C47" s="20" t="n"/>
      <c r="D47" s="37" t="n"/>
      <c r="E47" s="19" t="inlineStr">
        <is>
          <t>Box 14N+</t>
        </is>
      </c>
      <c r="F47" s="35" t="n"/>
      <c r="G47" s="35" t="n"/>
      <c r="H47" s="20" t="inlineStr">
        <is>
          <t>Attach statement with all Sec. 901/960 detail</t>
        </is>
      </c>
    </row>
    <row r="48" ht="15" customHeight="1" s="143">
      <c r="A48" s="176" t="n"/>
      <c r="B48" s="176" t="inlineStr">
        <is>
          <t>ALTERNATIVE MINIMUM TAX (AMT) ITEMS</t>
        </is>
      </c>
      <c r="C48" s="176" t="n"/>
      <c r="D48" s="176" t="n"/>
      <c r="E48" s="176" t="n"/>
      <c r="F48" s="176" t="n"/>
      <c r="G48" s="176" t="n"/>
      <c r="H48" s="176" t="n"/>
    </row>
    <row r="49" ht="15" customHeight="1" s="143">
      <c r="A49" s="25" t="inlineStr">
        <is>
          <t>15a</t>
        </is>
      </c>
      <c r="B49" s="33" t="inlineStr">
        <is>
          <t>Post-1986 depreciation adjustment</t>
        </is>
      </c>
      <c r="C49" s="26" t="n"/>
      <c r="D49" s="34" t="n"/>
      <c r="E49" s="25" t="inlineStr">
        <is>
          <t>Box 15A</t>
        </is>
      </c>
      <c r="F49" s="33" t="n"/>
      <c r="G49" s="33" t="n"/>
      <c r="H49" s="26" t="inlineStr">
        <is>
          <t>MACRS vs ADS difference. AMT uses 150% DB or ADS.</t>
        </is>
      </c>
    </row>
    <row r="50" ht="15" customHeight="1" s="143">
      <c r="A50" s="19" t="inlineStr">
        <is>
          <t>15b</t>
        </is>
      </c>
      <c r="B50" s="35" t="inlineStr">
        <is>
          <t>Adjusted gain or loss</t>
        </is>
      </c>
      <c r="C50" s="20" t="n"/>
      <c r="D50" s="37" t="n"/>
      <c r="E50" s="19" t="inlineStr">
        <is>
          <t>Box 15B</t>
        </is>
      </c>
      <c r="F50" s="35" t="n"/>
      <c r="G50" s="35" t="n"/>
      <c r="H50" s="20" t="inlineStr">
        <is>
          <t>AMT-basis gain/loss on asset dispositions</t>
        </is>
      </c>
    </row>
    <row r="51" ht="15" customHeight="1" s="143">
      <c r="A51" s="25" t="inlineStr">
        <is>
          <t>15c</t>
        </is>
      </c>
      <c r="B51" s="33" t="inlineStr">
        <is>
          <t>Depletion (other than oil &amp; gas)</t>
        </is>
      </c>
      <c r="C51" s="26" t="n"/>
      <c r="D51" s="34" t="n"/>
      <c r="E51" s="25" t="inlineStr">
        <is>
          <t>Box 15C</t>
        </is>
      </c>
      <c r="F51" s="33" t="n"/>
      <c r="G51" s="33" t="n"/>
      <c r="H51" s="26" t="n"/>
    </row>
    <row r="52" ht="15" customHeight="1" s="143">
      <c r="A52" s="19" t="inlineStr">
        <is>
          <t>15d</t>
        </is>
      </c>
      <c r="B52" s="35" t="inlineStr">
        <is>
          <t>Oil, gas &amp; geothermal — gross income</t>
        </is>
      </c>
      <c r="C52" s="20" t="n"/>
      <c r="D52" s="37" t="n"/>
      <c r="E52" s="19" t="inlineStr">
        <is>
          <t>Box 15D</t>
        </is>
      </c>
      <c r="F52" s="35" t="n"/>
      <c r="G52" s="35" t="n"/>
      <c r="H52" s="20" t="n"/>
    </row>
    <row r="53" ht="15" customHeight="1" s="143">
      <c r="A53" s="25" t="inlineStr">
        <is>
          <t>15e</t>
        </is>
      </c>
      <c r="B53" s="33" t="inlineStr">
        <is>
          <t>Oil, gas &amp; geothermal — deductions</t>
        </is>
      </c>
      <c r="C53" s="26" t="n"/>
      <c r="D53" s="34" t="n"/>
      <c r="E53" s="25" t="inlineStr">
        <is>
          <t>Box 15E</t>
        </is>
      </c>
      <c r="F53" s="33" t="n"/>
      <c r="G53" s="33" t="n"/>
      <c r="H53" s="26" t="n"/>
    </row>
    <row r="54" ht="15" customHeight="1" s="143">
      <c r="A54" s="19" t="inlineStr">
        <is>
          <t>15f</t>
        </is>
      </c>
      <c r="B54" s="35" t="inlineStr">
        <is>
          <t>Other AMT items</t>
        </is>
      </c>
      <c r="C54" s="20" t="n"/>
      <c r="D54" s="37" t="n"/>
      <c r="E54" s="19" t="inlineStr">
        <is>
          <t>Box 15F</t>
        </is>
      </c>
      <c r="F54" s="35" t="n"/>
      <c r="G54" s="35" t="n"/>
      <c r="H54" s="20" t="inlineStr">
        <is>
          <t>Attach statement</t>
        </is>
      </c>
    </row>
    <row r="55" ht="15" customHeight="1" s="143">
      <c r="A55" s="176" t="n"/>
      <c r="B55" s="176" t="inlineStr">
        <is>
          <t>ITEMS AFFECTING SHAREHOLDER BASIS</t>
        </is>
      </c>
      <c r="C55" s="176" t="n"/>
      <c r="D55" s="176" t="n"/>
      <c r="E55" s="176" t="n"/>
      <c r="F55" s="176" t="n"/>
      <c r="G55" s="176" t="n"/>
      <c r="H55" s="176" t="n"/>
    </row>
    <row r="56" ht="27.75" customHeight="1" s="143">
      <c r="A56" s="25" t="inlineStr">
        <is>
          <t>16a</t>
        </is>
      </c>
      <c r="B56" s="33" t="inlineStr">
        <is>
          <t>Tax-exempt interest income</t>
        </is>
      </c>
      <c r="C56" s="26" t="inlineStr">
        <is>
          <t>WTB r72 (−C72)</t>
        </is>
      </c>
      <c r="D56" s="34">
        <f>-'Working Trial Balance'!C72</f>
        <v/>
      </c>
      <c r="E56" s="25" t="inlineStr">
        <is>
          <t>Box 16A</t>
        </is>
      </c>
      <c r="F56" s="34">
        <f>D56*B7</f>
        <v/>
      </c>
      <c r="G56" s="34">
        <f>D56*C7</f>
        <v/>
      </c>
      <c r="H56" s="26" t="inlineStr">
        <is>
          <t>Muni bonds. Increases SH basis but not taxable. → OAA, not AAA.</t>
        </is>
      </c>
    </row>
    <row r="57" ht="15" customHeight="1" s="143">
      <c r="A57" s="19" t="inlineStr">
        <is>
          <t>16b</t>
        </is>
      </c>
      <c r="B57" s="35" t="inlineStr">
        <is>
          <t>Other tax-exempt income</t>
        </is>
      </c>
      <c r="C57" s="20" t="n"/>
      <c r="D57" s="37" t="n"/>
      <c r="E57" s="19" t="inlineStr">
        <is>
          <t>Box 16B</t>
        </is>
      </c>
      <c r="F57" s="35" t="n"/>
      <c r="G57" s="35" t="n"/>
      <c r="H57" s="20" t="inlineStr">
        <is>
          <t>PPP forgiveness, life ins proceeds. → OAA.</t>
        </is>
      </c>
    </row>
    <row r="58" ht="41.25" customHeight="1" s="143">
      <c r="A58" s="25" t="inlineStr">
        <is>
          <t>16c</t>
        </is>
      </c>
      <c r="B58" s="33" t="inlineStr">
        <is>
          <t>Nondeductible expenses</t>
        </is>
      </c>
      <c r="C58" s="26" t="inlineStr">
        <is>
          <t>WTB M-1 addbacks</t>
        </is>
      </c>
      <c r="D58" s="139">
        <f>'Working Trial Balance'!H99+'Working Trial Balance'!H115+'Working Trial Balance'!H116+'Working Trial Balance'!H117+'Working Trial Balance'!H118+'Working Trial Balance'!D91</f>
        <v/>
      </c>
      <c r="E58" s="25" t="inlineStr">
        <is>
          <t>Box 16C</t>
        </is>
      </c>
      <c r="F58" s="34">
        <f>D58*B7</f>
        <v/>
      </c>
      <c r="G58" s="34">
        <f>D58*C7</f>
        <v/>
      </c>
      <c r="H58" s="26" t="inlineStr">
        <is>
          <t>Total of all nondeductible items: meals 50%, entertainment, political, penalties, life ins, club dues, &gt;2% SH health. Reduces SH basis, does NOT reduce AAA.</t>
        </is>
      </c>
    </row>
    <row r="59" ht="15" customHeight="1" s="143">
      <c r="A59" s="19" t="inlineStr">
        <is>
          <t>16d</t>
        </is>
      </c>
      <c r="B59" s="35" t="inlineStr">
        <is>
          <t>Distributions (cash &amp; property)</t>
        </is>
      </c>
      <c r="C59" s="20" t="inlineStr">
        <is>
          <t>WTB r127</t>
        </is>
      </c>
      <c r="D59" s="140">
        <f>-' Balance Sheet'!E62</f>
        <v/>
      </c>
      <c r="E59" s="19" t="inlineStr">
        <is>
          <t>Box 16D</t>
        </is>
      </c>
      <c r="F59" s="37">
        <f>D59*B7</f>
        <v/>
      </c>
      <c r="G59" s="37">
        <f>D59*C7</f>
        <v/>
      </c>
      <c r="H59" s="20" t="inlineStr">
        <is>
          <t>Total distributions to all SHs</t>
        </is>
      </c>
    </row>
    <row r="60" ht="15" customHeight="1" s="143">
      <c r="A60" s="25" t="inlineStr">
        <is>
          <t>16e</t>
        </is>
      </c>
      <c r="B60" s="33" t="inlineStr">
        <is>
          <t>Repayment of SH loans</t>
        </is>
      </c>
      <c r="C60" s="26" t="n"/>
      <c r="D60" s="34" t="n"/>
      <c r="E60" s="25" t="inlineStr">
        <is>
          <t>Box 16E</t>
        </is>
      </c>
      <c r="F60" s="33" t="n"/>
      <c r="G60" s="33" t="n"/>
      <c r="H60" s="26" t="inlineStr">
        <is>
          <t>Reduces SH debt basis.</t>
        </is>
      </c>
    </row>
    <row r="61" ht="15" customHeight="1" s="143">
      <c r="A61" s="176" t="n"/>
      <c r="B61" s="176" t="inlineStr">
        <is>
          <t>OTHER INFORMATION</t>
        </is>
      </c>
      <c r="C61" s="176" t="n"/>
      <c r="D61" s="176" t="n"/>
      <c r="E61" s="176" t="n"/>
      <c r="F61" s="176" t="n"/>
      <c r="G61" s="176" t="n"/>
      <c r="H61" s="176" t="n"/>
    </row>
    <row r="62" ht="27.75" customHeight="1" s="143">
      <c r="A62" s="25" t="inlineStr">
        <is>
          <t>17a</t>
        </is>
      </c>
      <c r="B62" s="33" t="inlineStr">
        <is>
          <t>Investment income</t>
        </is>
      </c>
      <c r="C62" s="26" t="n"/>
      <c r="D62" s="34" t="n"/>
      <c r="E62" s="25" t="inlineStr">
        <is>
          <t>Box 17A</t>
        </is>
      </c>
      <c r="F62" s="33" t="n"/>
      <c r="G62" s="33" t="n"/>
      <c r="H62" s="26" t="inlineStr">
        <is>
          <t>Interest + dividends + short-term CG. For investment interest expense limitation at SH level.</t>
        </is>
      </c>
    </row>
    <row r="63" ht="15" customHeight="1" s="143">
      <c r="A63" s="19" t="inlineStr">
        <is>
          <t>17b</t>
        </is>
      </c>
      <c r="B63" s="35" t="inlineStr">
        <is>
          <t>Investment expenses</t>
        </is>
      </c>
      <c r="C63" s="20" t="n"/>
      <c r="D63" s="37" t="n"/>
      <c r="E63" s="19" t="inlineStr">
        <is>
          <t>Box 17B</t>
        </is>
      </c>
      <c r="F63" s="35" t="n"/>
      <c r="G63" s="35" t="n"/>
      <c r="H63" s="20" t="inlineStr">
        <is>
          <t>Expenses related to investment income</t>
        </is>
      </c>
    </row>
    <row r="64" ht="15" customHeight="1" s="143">
      <c r="A64" s="25" t="inlineStr">
        <is>
          <t>17c</t>
        </is>
      </c>
      <c r="B64" s="33" t="inlineStr">
        <is>
          <t>Dividend equivalents</t>
        </is>
      </c>
      <c r="C64" s="26" t="n"/>
      <c r="D64" s="34" t="n"/>
      <c r="E64" s="25" t="inlineStr">
        <is>
          <t>Box 17C</t>
        </is>
      </c>
      <c r="F64" s="33" t="n"/>
      <c r="G64" s="33" t="n"/>
      <c r="H64" s="26" t="n"/>
    </row>
    <row r="65" ht="27.75" customHeight="1" s="143">
      <c r="A65" s="19" t="inlineStr">
        <is>
          <t>17d</t>
        </is>
      </c>
      <c r="B65" s="35" t="inlineStr">
        <is>
          <t>Other information — §199A QBI</t>
        </is>
      </c>
      <c r="C65" s="20" t="n"/>
      <c r="D65" s="37" t="n"/>
      <c r="E65" s="19" t="inlineStr">
        <is>
          <t>Box 17V</t>
        </is>
      </c>
      <c r="F65" s="35" t="n"/>
      <c r="G65" s="35" t="n"/>
      <c r="H65" s="20" t="inlineStr">
        <is>
          <t>Qualified Business Income for §199A deduction at SH level. Usually = OBI for most S-corps.</t>
        </is>
      </c>
    </row>
    <row r="66" ht="15" customHeight="1" s="143">
      <c r="A66" s="25" t="inlineStr">
        <is>
          <t>17e</t>
        </is>
      </c>
      <c r="B66" s="33" t="inlineStr">
        <is>
          <t>Other information — §199A W-2 wages</t>
        </is>
      </c>
      <c r="C66" s="26" t="n"/>
      <c r="D66" s="45" t="n"/>
      <c r="E66" s="25" t="inlineStr">
        <is>
          <t>Box 17W</t>
        </is>
      </c>
      <c r="F66" s="33" t="n"/>
      <c r="G66" s="33" t="n"/>
      <c r="H66" s="50" t="inlineStr">
        <is>
          <t>⚠ MANUALLY ENTER — From payroll records / Form W-3</t>
        </is>
      </c>
    </row>
    <row r="67" ht="23.25" customHeight="1" s="143">
      <c r="A67" s="19" t="inlineStr">
        <is>
          <t>17f</t>
        </is>
      </c>
      <c r="B67" s="35" t="inlineStr">
        <is>
          <t>Other information — §199A UBIA</t>
        </is>
      </c>
      <c r="C67" s="20" t="n"/>
      <c r="D67" s="45" t="n"/>
      <c r="E67" s="19" t="inlineStr">
        <is>
          <t>Box 17X</t>
        </is>
      </c>
      <c r="F67" s="35" t="n"/>
      <c r="G67" s="35" t="n"/>
      <c r="H67" s="46" t="inlineStr">
        <is>
          <t>⚠ MANUALLY ENTER — From fixed asset schedule / depreciation report</t>
        </is>
      </c>
    </row>
    <row r="68" ht="15" customHeight="1" s="143">
      <c r="A68" s="25" t="inlineStr">
        <is>
          <t>17g</t>
        </is>
      </c>
      <c r="B68" s="33" t="inlineStr">
        <is>
          <t>Other information — additional codes</t>
        </is>
      </c>
      <c r="C68" s="26" t="n"/>
      <c r="D68" s="34" t="n"/>
      <c r="E68" s="25" t="inlineStr">
        <is>
          <t>Box 17</t>
        </is>
      </c>
      <c r="F68" s="33" t="n"/>
      <c r="G68" s="33" t="n"/>
      <c r="H68" s="26" t="inlineStr">
        <is>
          <t>Codes AA-AJ as needed. Attach detail.</t>
        </is>
      </c>
    </row>
    <row r="69" ht="15" customHeight="1" s="143"/>
    <row r="70" ht="15" customHeight="1" s="143">
      <c r="A70" s="201" t="inlineStr">
        <is>
          <t>TOTAL</t>
        </is>
      </c>
      <c r="B70" s="244" t="inlineStr">
        <is>
          <t>Total Sch K Income (Ln 1 through Ln 10 minus Ln 11-12a)</t>
        </is>
      </c>
      <c r="D70" s="202">
        <f>D11+D15+D16+D17+D21+D24-D27-D28</f>
        <v/>
      </c>
    </row>
    <row r="71" ht="15" customHeight="1" s="143"/>
    <row r="72" ht="15" customHeight="1" s="143">
      <c r="A72" s="170" t="inlineStr">
        <is>
          <t>TIE-OUT CHECKS</t>
        </is>
      </c>
    </row>
    <row r="73" ht="15" customHeight="1" s="143">
      <c r="B73" s="173" t="inlineStr">
        <is>
          <t>K Ln 1 = WTB OBI (Pg 1 Ln 21)</t>
        </is>
      </c>
      <c r="D73" s="10">
        <f>D11-'Working Trial Balance'!F155</f>
        <v/>
      </c>
      <c r="E73" s="173">
        <f>IF(D73=0,"✓ TIES","✗ OFF")</f>
        <v/>
      </c>
    </row>
    <row r="74" hidden="1" ht="15" customHeight="1" s="143">
      <c r="B74" s="173" t="inlineStr">
        <is>
          <t>K Ln 3c net rental = M-2 rental (row 10)</t>
        </is>
      </c>
      <c r="D74" s="10">
        <f>D15-'Schedule M-2'!B10</f>
        <v/>
      </c>
      <c r="E74" s="173">
        <f>IF(D74=0,"✓ TIES","✗ OFF")</f>
        <v/>
      </c>
    </row>
    <row r="75" ht="15" customHeight="1" s="143">
      <c r="B75" s="173" t="inlineStr">
        <is>
          <t>K Ln 16d distributions = M-2 distributions</t>
        </is>
      </c>
      <c r="D75" s="10">
        <f>D59-'Schedule M-2'!B34</f>
        <v/>
      </c>
      <c r="E75" s="173">
        <f>IF(D75=0,"✓ TIES","✗ OFF")</f>
        <v/>
      </c>
    </row>
    <row r="76" ht="15" customHeight="1" s="143">
      <c r="B76" s="173" t="inlineStr">
        <is>
          <t>K Ln 16a tax-exempt = M-2 OAA increase</t>
        </is>
      </c>
      <c r="D76" s="10">
        <f>D56-'Schedule M-2'!C16</f>
        <v/>
      </c>
      <c r="E76" s="173">
        <f>IF(D76=0,"✓ TIES","✗ OFF")</f>
        <v/>
      </c>
    </row>
    <row r="77" ht="15" customHeight="1" s="143">
      <c r="B77" s="173" t="inlineStr">
        <is>
          <t>Ownership % check (should = 100%)</t>
        </is>
      </c>
      <c r="D77" s="51">
        <f>B7+C7</f>
        <v/>
      </c>
      <c r="E77" s="173">
        <f>IF(D77=1,"✓ 100%","✗ OFF")</f>
        <v/>
      </c>
    </row>
  </sheetData>
  <mergeCells count="5">
    <mergeCell ref="A1:H1"/>
    <mergeCell ref="A3:H3"/>
    <mergeCell ref="A2:H2"/>
    <mergeCell ref="A72:H72"/>
    <mergeCell ref="A5:H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H48"/>
  <sheetViews>
    <sheetView zoomScaleNormal="100" workbookViewId="0">
      <pane ySplit="6" topLeftCell="A20" activePane="bottomLeft" state="frozen"/>
      <selection pane="bottomLeft" activeCell="D46" sqref="D46"/>
    </sheetView>
  </sheetViews>
  <sheetFormatPr baseColWidth="8" defaultColWidth="8.7109375" defaultRowHeight="15"/>
  <cols>
    <col width="10" customWidth="1" style="143" min="1" max="1"/>
    <col width="44" customWidth="1" style="143" min="2" max="2"/>
    <col width="22" customWidth="1" style="143" min="3" max="3"/>
    <col width="16" customWidth="1" style="143" min="4" max="4"/>
    <col width="45" customWidth="1" style="143" min="5" max="5"/>
    <col width="20" customWidth="1" style="143" min="6" max="6"/>
    <col width="50" customWidth="1" style="143" min="7" max="7"/>
  </cols>
  <sheetData>
    <row r="1" ht="17.25" customHeight="1" s="143">
      <c r="A1" s="166" t="inlineStr">
        <is>
          <t>[ENTITY NAME] — Schedule M-1 — Reconciliation of Income (Loss) per Books With Income (Loss) per Return</t>
        </is>
      </c>
    </row>
    <row r="2" ht="15" customHeight="1" s="143">
      <c r="A2" s="168" t="inlineStr">
        <is>
          <t>Tax Year Ended [MM/DD/YYYY]</t>
        </is>
      </c>
    </row>
    <row r="3" ht="15" customHeight="1" s="143">
      <c r="A3" s="149" t="inlineStr">
        <is>
          <t>[ENTITY NAME] (S-Corp) — EIN: [XX-XXXXXXX]</t>
        </is>
      </c>
    </row>
    <row r="4" ht="15" customHeight="1" s="143">
      <c r="A4" s="201" t="inlineStr">
        <is>
          <t>M-1 reconciles book net income → income per return. If gross receipts &gt; $250K AND total assets &gt; $10M at year-end, use Schedule M-3 instead.</t>
        </is>
      </c>
    </row>
    <row r="5" ht="15" customHeight="1" s="143"/>
    <row r="6" ht="27.75" customHeight="1" s="143">
      <c r="A6" s="260" t="inlineStr">
        <is>
          <t>M-1 Line</t>
        </is>
      </c>
      <c r="B6" s="18" t="inlineStr">
        <is>
          <t>Description</t>
        </is>
      </c>
      <c r="C6" s="18" t="inlineStr">
        <is>
          <t>WTB Row / Source</t>
        </is>
      </c>
      <c r="D6" s="18" t="inlineStr">
        <is>
          <t>Amount</t>
        </is>
      </c>
      <c r="E6" s="18" t="inlineStr">
        <is>
          <t>Typical Items (Highlight = common for most clients)</t>
        </is>
      </c>
      <c r="F6" s="18" t="inlineStr">
        <is>
          <t>Ties To</t>
        </is>
      </c>
      <c r="G6" s="18" t="inlineStr">
        <is>
          <t>Notes</t>
        </is>
      </c>
    </row>
    <row r="7" ht="41.25" customHeight="1" s="143">
      <c r="A7" s="47" t="inlineStr">
        <is>
          <t>1</t>
        </is>
      </c>
      <c r="B7" s="8" t="inlineStr">
        <is>
          <t>Net income (loss) per books</t>
        </is>
      </c>
      <c r="C7" s="48" t="inlineStr">
        <is>
          <t>WTB r139 / PBC P&amp;L</t>
        </is>
      </c>
      <c r="D7" s="49">
        <f>'P&amp;L'!B63</f>
        <v/>
      </c>
      <c r="E7" s="48" t="inlineStr">
        <is>
          <t>ALWAYS: Net income from financial statements / QuickBooks / PBC P&amp;L. This is BOOK income, not tax.</t>
        </is>
      </c>
      <c r="F7" s="48" t="inlineStr">
        <is>
          <t>PBC P&amp;L bottom line</t>
        </is>
      </c>
      <c r="G7" s="48" t="inlineStr">
        <is>
          <t>Must match P&amp;L exactly. If client provides adjusted TB, may need to reconcile.</t>
        </is>
      </c>
    </row>
    <row r="8" ht="41.25" customHeight="1" s="143">
      <c r="A8" s="19" t="inlineStr">
        <is>
          <t>2</t>
        </is>
      </c>
      <c r="B8" s="35" t="inlineStr">
        <is>
          <t>Income included on Sch K not on books</t>
        </is>
      </c>
      <c r="C8" s="20" t="n"/>
      <c r="D8" s="37" t="n"/>
      <c r="E8" s="36" t="inlineStr">
        <is>
          <t>RARE for S-corps. Example: income recognized on return earlier than books (installment sale reversal). Most clients = $0.</t>
        </is>
      </c>
      <c r="F8" s="20" t="inlineStr">
        <is>
          <t>Sch K detail</t>
        </is>
      </c>
      <c r="G8" s="20" t="inlineStr">
        <is>
          <t>Leave blank unless you have a specific item.</t>
        </is>
      </c>
    </row>
    <row r="9" ht="15" customHeight="1" s="143">
      <c r="A9" s="176" t="n"/>
      <c r="B9" s="176" t="inlineStr">
        <is>
          <t>LINE 3: EXPENSES ON BOOKS NOT DEDUCTED ON RETURN (ADD BACKS)</t>
        </is>
      </c>
      <c r="C9" s="176" t="n"/>
      <c r="D9" s="176" t="n"/>
      <c r="E9" s="176" t="n"/>
      <c r="F9" s="176" t="n"/>
      <c r="G9" s="176" t="n"/>
    </row>
    <row r="10" ht="41.25" customHeight="1" s="143">
      <c r="A10" s="25" t="inlineStr">
        <is>
          <t>3a</t>
        </is>
      </c>
      <c r="B10" s="33" t="inlineStr">
        <is>
          <t>Book depreciation (replaced by tax MACRS)</t>
        </is>
      </c>
      <c r="C10" s="26" t="inlineStr">
        <is>
          <t>WTB r105-108</t>
        </is>
      </c>
      <c r="D10" s="139">
        <f>'Working Trial Balance'!D105+'Working Trial Balance'!D106+'Working Trial Balance'!D107+'Working Trial Balance'!D108</f>
        <v/>
      </c>
      <c r="E10" s="26" t="inlineStr">
        <is>
          <t>COMMON: Book SL depreciation. Added back because tax uses MACRS (Ln 6a). Desert Peak: $60K book depr.</t>
        </is>
      </c>
      <c r="F10" s="26" t="inlineStr">
        <is>
          <t>Form 4562</t>
        </is>
      </c>
      <c r="G10" s="26" t="inlineStr">
        <is>
          <t>Must tie to book depreciation schedule / fixed asset report.</t>
        </is>
      </c>
      <c r="H10" s="135" t="inlineStr">
        <is>
          <t>Placeholder till I get UT to work</t>
        </is>
      </c>
    </row>
    <row r="11" ht="41.25" customHeight="1" s="143">
      <c r="A11" s="19" t="inlineStr">
        <is>
          <t>3b</t>
        </is>
      </c>
      <c r="B11" s="35" t="inlineStr">
        <is>
          <t>&gt;2% Shareholder health insurance</t>
        </is>
      </c>
      <c r="C11" s="20" t="inlineStr">
        <is>
          <t>WTB r91 (F col)</t>
        </is>
      </c>
      <c r="D11" s="140">
        <f>'Working Trial Balance'!D91</f>
        <v/>
      </c>
      <c r="E11" s="36" t="inlineStr">
        <is>
          <t>COMMON: Officer health insurance for &gt;2% shareholders. Not deducted on 1120-S — goes on officer W-2 Box 1 and K-1.</t>
        </is>
      </c>
      <c r="F11" s="20" t="inlineStr">
        <is>
          <t>W-2 / K-1</t>
        </is>
      </c>
      <c r="G11" s="20" t="inlineStr">
        <is>
          <t>Deducted on SH personal return (pg 1, line 17 of 1040). NOT on 1120-S.</t>
        </is>
      </c>
    </row>
    <row r="12" ht="27.75" customHeight="1" s="143">
      <c r="A12" s="25" t="inlineStr">
        <is>
          <t>3c</t>
        </is>
      </c>
      <c r="B12" s="33" t="inlineStr">
        <is>
          <t>Meals — 50% disallowance</t>
        </is>
      </c>
      <c r="C12" s="26" t="inlineStr">
        <is>
          <t>WTB r99 (F col)</t>
        </is>
      </c>
      <c r="D12" s="34">
        <f>'Working Trial Balance'!H99</f>
        <v/>
      </c>
      <c r="E12" s="26" t="inlineStr">
        <is>
          <t>COMMON: 50% of business meals (post-2022). $18K total × 50% = $9K disallowed. 50% IS on Pg 1.</t>
        </is>
      </c>
      <c r="F12" s="26" t="inlineStr">
        <is>
          <t>Pg 1, Ln 19</t>
        </is>
      </c>
      <c r="G12" s="26" t="inlineStr">
        <is>
          <t>Verify: some years had 100% deduction (2021-2022 restaurant meals).</t>
        </is>
      </c>
    </row>
    <row r="13" ht="27.75" customHeight="1" s="143">
      <c r="A13" s="19" t="inlineStr">
        <is>
          <t>3d</t>
        </is>
      </c>
      <c r="B13" s="35" t="inlineStr">
        <is>
          <t>Entertainment (100% disallowed)</t>
        </is>
      </c>
      <c r="C13" s="20" t="inlineStr">
        <is>
          <t>WTB r100 (F col)</t>
        </is>
      </c>
      <c r="D13" s="37">
        <f>'Working Trial Balance'!H100</f>
        <v/>
      </c>
      <c r="E13" s="36" t="inlineStr">
        <is>
          <t>COMMON: All entertainment is 100% nondeductible post-TCJA. Sporting events, golf, concerts, etc.</t>
        </is>
      </c>
      <c r="F13" s="20" t="inlineStr">
        <is>
          <t>N/A ($0 on return)</t>
        </is>
      </c>
      <c r="G13" s="20" t="inlineStr">
        <is>
          <t>Confirm client properly separates meals from entertainment in their books.</t>
        </is>
      </c>
    </row>
    <row r="14" ht="27.75" customHeight="1" s="143">
      <c r="A14" s="25" t="inlineStr">
        <is>
          <t>3e</t>
        </is>
      </c>
      <c r="B14" s="33" t="inlineStr">
        <is>
          <t>Charitable contributions (separately stated)</t>
        </is>
      </c>
      <c r="C14" s="26" t="inlineStr">
        <is>
          <t>WTB r114 (F col)</t>
        </is>
      </c>
      <c r="D14" s="139">
        <f>'Working Trial Balance'!D114</f>
        <v/>
      </c>
      <c r="E14" s="26" t="inlineStr">
        <is>
          <t>COMMON: Deducted on books but separately stated on K Ln 12a. SH deducts on personal Sch A.</t>
        </is>
      </c>
      <c r="F14" s="26" t="inlineStr">
        <is>
          <t>K Ln 12a</t>
        </is>
      </c>
      <c r="G14" s="26" t="inlineStr">
        <is>
          <t>If corp received property donations, may need Form 8283 at SH level.</t>
        </is>
      </c>
    </row>
    <row r="15" ht="27.75" customHeight="1" s="143">
      <c r="A15" s="19" t="inlineStr">
        <is>
          <t>3f</t>
        </is>
      </c>
      <c r="B15" s="35" t="inlineStr">
        <is>
          <t>Political contributions</t>
        </is>
      </c>
      <c r="C15" s="20" t="inlineStr">
        <is>
          <t>WTB r115 (F col)</t>
        </is>
      </c>
      <c r="D15" s="140">
        <f>'Working Trial Balance'!D115</f>
        <v/>
      </c>
      <c r="E15" s="36" t="inlineStr">
        <is>
          <t>COMMON: 100% nondeductible. Lobbying, political campaigns, PACs.</t>
        </is>
      </c>
      <c r="F15" s="20" t="inlineStr">
        <is>
          <t>K Ln 16c</t>
        </is>
      </c>
      <c r="G15" s="20" t="inlineStr">
        <is>
          <t>Reduces SH basis only. Does NOT reduce AAA.</t>
        </is>
      </c>
    </row>
    <row r="16" ht="27.75" customHeight="1" s="143">
      <c r="A16" s="25" t="inlineStr">
        <is>
          <t>3g</t>
        </is>
      </c>
      <c r="B16" s="33" t="inlineStr">
        <is>
          <t>Penalties &amp; fines</t>
        </is>
      </c>
      <c r="C16" s="26" t="inlineStr">
        <is>
          <t>WTB r116 (F col)</t>
        </is>
      </c>
      <c r="D16" s="139">
        <f>'Working Trial Balance'!D116</f>
        <v/>
      </c>
      <c r="E16" s="26" t="inlineStr">
        <is>
          <t>COMMON: Late filing penalties, parking tickets, regulatory fines. 100% nondeductible.</t>
        </is>
      </c>
      <c r="F16" s="26" t="inlineStr">
        <is>
          <t>K Ln 16c</t>
        </is>
      </c>
      <c r="G16" s="26" t="inlineStr">
        <is>
          <t>Exception: some restitution payments may be deductible — check §162(f).</t>
        </is>
      </c>
    </row>
    <row r="17" ht="27.75" customHeight="1" s="143">
      <c r="A17" s="19" t="inlineStr">
        <is>
          <t>3h</t>
        </is>
      </c>
      <c r="B17" s="35" t="inlineStr">
        <is>
          <t>Life insurance premiums (corp beneficiary)</t>
        </is>
      </c>
      <c r="C17" s="20" t="inlineStr">
        <is>
          <t>WTB r117 (F col)</t>
        </is>
      </c>
      <c r="D17" s="140">
        <f>'Working Trial Balance'!D117</f>
        <v/>
      </c>
      <c r="E17" s="36" t="inlineStr">
        <is>
          <t>COMMON: Key person life insurance where corp is beneficiary. Nondeductible.</t>
        </is>
      </c>
      <c r="F17" s="20" t="inlineStr">
        <is>
          <t>K Ln 16c</t>
        </is>
      </c>
      <c r="G17" s="20" t="inlineStr">
        <is>
          <t>If SH is beneficiary, may be compensation. Different treatment.</t>
        </is>
      </c>
    </row>
    <row r="18" ht="27.75" customHeight="1" s="143">
      <c r="A18" s="25" t="inlineStr">
        <is>
          <t>3i</t>
        </is>
      </c>
      <c r="B18" s="33" t="inlineStr">
        <is>
          <t>Club dues</t>
        </is>
      </c>
      <c r="C18" s="26" t="inlineStr">
        <is>
          <t>WTB r118 (F col)</t>
        </is>
      </c>
      <c r="D18" s="139">
        <f>'Working Trial Balance'!D118</f>
        <v/>
      </c>
      <c r="E18" s="26" t="inlineStr">
        <is>
          <t>COMMON: Country club, social club, athletic club. 100% nondeductible since 1993.</t>
        </is>
      </c>
      <c r="F18" s="26" t="inlineStr">
        <is>
          <t>K Ln 16c</t>
        </is>
      </c>
      <c r="G18" s="26" t="inlineStr">
        <is>
          <t>Business meals AT a club ARE deductible (50%) — separate those out.</t>
        </is>
      </c>
    </row>
    <row r="19" ht="27.75" customHeight="1" s="143">
      <c r="A19" s="19" t="inlineStr">
        <is>
          <t>3j</t>
        </is>
      </c>
      <c r="B19" s="35" t="inlineStr">
        <is>
          <t>Officers' life insurance (excess)</t>
        </is>
      </c>
      <c r="C19" s="20" t="n"/>
      <c r="D19" s="37">
        <f>'Working Trial Balance'!H113</f>
        <v/>
      </c>
      <c r="E19" s="36" t="inlineStr">
        <is>
          <t>If &gt;$50K term life provided to officers. Excess over $50K is nondeductible and included in W-2.</t>
        </is>
      </c>
      <c r="F19" s="20" t="inlineStr">
        <is>
          <t>W-2</t>
        </is>
      </c>
      <c r="G19" s="20" t="n"/>
    </row>
    <row r="20" ht="41.25" customHeight="1" s="143">
      <c r="A20" s="25" t="inlineStr">
        <is>
          <t>3k</t>
        </is>
      </c>
      <c r="B20" s="33" t="inlineStr">
        <is>
          <t>Excess compensation (reasonable comp issue)</t>
        </is>
      </c>
      <c r="C20" s="26" t="n"/>
      <c r="D20" s="34" t="n"/>
      <c r="E20" s="26" t="inlineStr">
        <is>
          <t>RARE: If IRS determines officer comp exceeds reasonable amount. Amount reclassified as distribution.</t>
        </is>
      </c>
      <c r="F20" s="26" t="n"/>
      <c r="G20" s="26" t="inlineStr">
        <is>
          <t>Typically only on exam / audit. Leave blank unless specific issue.</t>
        </is>
      </c>
    </row>
    <row r="21" ht="41.25" customHeight="1" s="143">
      <c r="A21" s="19" t="inlineStr">
        <is>
          <t>3l</t>
        </is>
      </c>
      <c r="B21" s="35" t="inlineStr">
        <is>
          <t>Travel &amp; entertainment (other disallowed)</t>
        </is>
      </c>
      <c r="C21" s="20" t="n"/>
      <c r="D21" s="37" t="n"/>
      <c r="E21" s="36" t="inlineStr">
        <is>
          <t>Luxury water transportation, first-class airfare limits (usually immaterial). Check for "lavish or extravagant" items.</t>
        </is>
      </c>
      <c r="F21" s="20" t="n"/>
      <c r="G21" s="20" t="n"/>
    </row>
    <row r="22" ht="27.75" customHeight="1" s="143">
      <c r="A22" s="25" t="inlineStr">
        <is>
          <t>3m</t>
        </is>
      </c>
      <c r="B22" s="33" t="inlineStr">
        <is>
          <t>Other expenses on books not on return</t>
        </is>
      </c>
      <c r="C22" s="26" t="n"/>
      <c r="D22" s="34" t="n"/>
      <c r="E22" s="26" t="inlineStr">
        <is>
          <t>Catch-all: reserves, accrued expenses not deductible until paid (§461(h)), warranty accruals, etc.</t>
        </is>
      </c>
      <c r="F22" s="26" t="n"/>
      <c r="G22" s="26" t="inlineStr">
        <is>
          <t>Attach detail if material. Consider if timing (temporary) or permanent.</t>
        </is>
      </c>
    </row>
    <row r="23" ht="15" customHeight="1" s="143">
      <c r="A23" s="43" t="inlineStr">
        <is>
          <t>3</t>
        </is>
      </c>
      <c r="B23" s="42" t="inlineStr">
        <is>
          <t>TOTAL LINE 3 — Expenses on books not on return</t>
        </is>
      </c>
      <c r="C23" s="52" t="inlineStr">
        <is>
          <t>WTB r150</t>
        </is>
      </c>
      <c r="D23" s="32">
        <f>SUM(D10:D22)</f>
        <v/>
      </c>
      <c r="E23" s="52" t="n"/>
      <c r="F23" s="52" t="inlineStr">
        <is>
          <t>WTB M-1 Ln 3 total</t>
        </is>
      </c>
      <c r="G23" s="52" t="n"/>
    </row>
    <row r="24" ht="27.75" customHeight="1" s="143">
      <c r="A24" s="47" t="inlineStr">
        <is>
          <t>4</t>
        </is>
      </c>
      <c r="B24" s="8" t="inlineStr">
        <is>
          <t>TOTAL (Lines 1 + 2 + 3)</t>
        </is>
      </c>
      <c r="C24" s="48" t="n"/>
      <c r="D24" s="49">
        <f>D7+D8+D23</f>
        <v/>
      </c>
      <c r="E24" s="48" t="n"/>
      <c r="F24" s="48" t="n"/>
      <c r="G24" s="48" t="inlineStr">
        <is>
          <t>This is book NI adjusted for all items deducted on books but not on return.</t>
        </is>
      </c>
    </row>
    <row r="25" ht="15" customHeight="1" s="143">
      <c r="A25" s="176" t="n"/>
      <c r="B25" s="176" t="inlineStr">
        <is>
          <t>LINE 5: INCOME INCLUDED ON BOOKS NOT ON RETURN (SUBTRACT)</t>
        </is>
      </c>
      <c r="C25" s="176" t="n"/>
      <c r="D25" s="176" t="n"/>
      <c r="E25" s="176" t="n"/>
      <c r="F25" s="176" t="n"/>
      <c r="G25" s="176" t="n"/>
    </row>
    <row r="26" ht="27.75" customHeight="1" s="143">
      <c r="A26" s="25" t="inlineStr">
        <is>
          <t>5a</t>
        </is>
      </c>
      <c r="B26" s="33" t="inlineStr">
        <is>
          <t>Tax-exempt interest income</t>
        </is>
      </c>
      <c r="C26" s="26" t="inlineStr">
        <is>
          <t>WTB r72 (F col)</t>
        </is>
      </c>
      <c r="D26" s="139" t="n">
        <v>0</v>
      </c>
      <c r="E26" s="26" t="inlineStr">
        <is>
          <t>COMMON: Municipal bond interest. On books as income but NOT taxable. Remove for tax.</t>
        </is>
      </c>
      <c r="F26" s="26" t="inlineStr">
        <is>
          <t>K Ln 16a</t>
        </is>
      </c>
      <c r="G26" s="26" t="inlineStr">
        <is>
          <t>Goes to OAA on M-2, not AAA. Sign should be negative (subtracting from Ln 4).</t>
        </is>
      </c>
    </row>
    <row r="27" ht="27.75" customHeight="1" s="143">
      <c r="A27" s="19" t="inlineStr">
        <is>
          <t>5b</t>
        </is>
      </c>
      <c r="B27" s="35" t="inlineStr">
        <is>
          <t>Unrealized gains/losses</t>
        </is>
      </c>
      <c r="C27" s="20" t="inlineStr">
        <is>
          <t>WTB r73 (F col)</t>
        </is>
      </c>
      <c r="D27" s="140">
        <f>-'Working Trial Balance'!D136</f>
        <v/>
      </c>
      <c r="E27" s="36" t="inlineStr">
        <is>
          <t>COMMON: Mark-to-market gains/losses on investments. Book income, not realized for tax.</t>
        </is>
      </c>
      <c r="F27" s="20" t="inlineStr">
        <is>
          <t>N/A (not on return)</t>
        </is>
      </c>
      <c r="G27" s="20" t="inlineStr">
        <is>
          <t>GAAP requires recognition; tax waits until sale. Reverse when sold.</t>
        </is>
      </c>
    </row>
    <row r="28" ht="27.75" customHeight="1" s="143">
      <c r="A28" s="25" t="inlineStr">
        <is>
          <t>5c</t>
        </is>
      </c>
      <c r="B28" s="33" t="inlineStr">
        <is>
          <t>Life insurance proceeds</t>
        </is>
      </c>
      <c r="C28" s="26" t="n"/>
      <c r="D28" s="34" t="n"/>
      <c r="E28" s="26" t="inlineStr">
        <is>
          <t>If corp received death benefit on key person policy. Book income, not taxable (§101).</t>
        </is>
      </c>
      <c r="F28" s="26" t="inlineStr">
        <is>
          <t>K Ln 16b</t>
        </is>
      </c>
      <c r="G28" s="26" t="inlineStr">
        <is>
          <t>Goes to OAA.</t>
        </is>
      </c>
    </row>
    <row r="29" ht="27.75" customHeight="1" s="143">
      <c r="A29" s="19" t="inlineStr">
        <is>
          <t>5d</t>
        </is>
      </c>
      <c r="B29" s="35" t="inlineStr">
        <is>
          <t>PPP loan forgiveness</t>
        </is>
      </c>
      <c r="C29" s="20" t="n"/>
      <c r="D29" s="37" t="n"/>
      <c r="E29" s="36" t="inlineStr">
        <is>
          <t>Was common 2020-2022. Book income from forgiveness, excluded from taxable income.</t>
        </is>
      </c>
      <c r="F29" s="20" t="inlineStr">
        <is>
          <t>K Ln 16b</t>
        </is>
      </c>
      <c r="G29" s="20" t="inlineStr">
        <is>
          <t>Related expenses ARE still deductible (Rev Proc 2021-48).</t>
        </is>
      </c>
    </row>
    <row r="30" ht="41.25" customHeight="1" s="143">
      <c r="A30" s="25" t="inlineStr">
        <is>
          <t>5e</t>
        </is>
      </c>
      <c r="B30" s="33" t="inlineStr">
        <is>
          <t>Other income on books not on return</t>
        </is>
      </c>
      <c r="C30" s="26" t="n"/>
      <c r="D30" s="34" t="n"/>
      <c r="E30" s="26" t="inlineStr">
        <is>
          <t>Installment sale income deferred for tax, income from flow-through entities recognized differently, etc.</t>
        </is>
      </c>
      <c r="F30" s="26" t="n"/>
      <c r="G30" s="26" t="n"/>
    </row>
    <row r="31" ht="27.75" customHeight="1" s="143">
      <c r="A31" s="43" t="inlineStr">
        <is>
          <t>5</t>
        </is>
      </c>
      <c r="B31" s="42" t="inlineStr">
        <is>
          <t>TOTAL LINE 5 — Income on books not on return</t>
        </is>
      </c>
      <c r="C31" s="52" t="inlineStr">
        <is>
          <t>WTB r155</t>
        </is>
      </c>
      <c r="D31" s="32">
        <f>SUM(D26:D30)</f>
        <v/>
      </c>
      <c r="E31" s="52" t="n"/>
      <c r="F31" s="52" t="inlineStr">
        <is>
          <t>WTB M-1 Ln 5 total</t>
        </is>
      </c>
      <c r="G31" s="52" t="inlineStr">
        <is>
          <t>These amounts should be NEGATIVE (reducing income per return). F column in WTB carries sign.</t>
        </is>
      </c>
    </row>
    <row r="32" ht="15" customHeight="1" s="143">
      <c r="A32" s="176" t="n"/>
      <c r="B32" s="176" t="inlineStr">
        <is>
          <t>LINE 6: DEDUCTIONS ON RETURN NOT ON BOOKS (SUBTRACT)</t>
        </is>
      </c>
      <c r="C32" s="176" t="n"/>
      <c r="D32" s="176" t="n"/>
      <c r="E32" s="176" t="n"/>
      <c r="F32" s="176" t="n"/>
      <c r="G32" s="176" t="n"/>
    </row>
    <row r="33" ht="41.25" customHeight="1" s="143">
      <c r="A33" s="25" t="inlineStr">
        <is>
          <t>6a</t>
        </is>
      </c>
      <c r="B33" s="33" t="inlineStr">
        <is>
          <t>Tax depreciation — MACRS / bonus</t>
        </is>
      </c>
      <c r="C33" s="26" t="inlineStr">
        <is>
          <t>WTB r109 (F col)</t>
        </is>
      </c>
      <c r="D33" s="139">
        <f>-'Working Trial Balance'!F109</f>
        <v/>
      </c>
      <c r="E33" s="26" t="inlineStr">
        <is>
          <t>COMMON: Tax MACRS/bonus depreciation replaces book SL. Usually LARGER than book depr → negative here.</t>
        </is>
      </c>
      <c r="F33" s="26" t="inlineStr">
        <is>
          <t>Form 4562 / Pg 1 Ln 14</t>
        </is>
      </c>
      <c r="G33" s="26" t="inlineStr">
        <is>
          <t>Desert Peak: $75K MACRS. Compare to $60K book depr (Ln 3a). Net extra deduction = $15K.</t>
        </is>
      </c>
    </row>
    <row r="34" ht="41.25" customHeight="1" s="143">
      <c r="A34" s="19" t="inlineStr">
        <is>
          <t>6b</t>
        </is>
      </c>
      <c r="B34" s="35" t="inlineStr">
        <is>
          <t>§179 deduction</t>
        </is>
      </c>
      <c r="C34" s="20" t="inlineStr">
        <is>
          <t>WTB r110 (F col)</t>
        </is>
      </c>
      <c r="D34" s="140">
        <f>-'Working Trial Balance'!F110</f>
        <v/>
      </c>
      <c r="E34" s="36" t="inlineStr">
        <is>
          <t>COMMON: Immediate expensing of qualifying assets. $1,220,000 limit (2024). Separately stated on K Ln 11.</t>
        </is>
      </c>
      <c r="F34" s="20" t="inlineStr">
        <is>
          <t>K Ln 11 / Form 4562</t>
        </is>
      </c>
      <c r="G34" s="20" t="inlineStr">
        <is>
          <t>Desert Peak: $17K. Subject to business income limitation and total asset phase-out.</t>
        </is>
      </c>
    </row>
    <row r="35" ht="41.25" customHeight="1" s="143">
      <c r="A35" s="25" t="inlineStr">
        <is>
          <t>6c</t>
        </is>
      </c>
      <c r="B35" s="33" t="inlineStr">
        <is>
          <t>Bonus depreciation (if separate from MACRS)</t>
        </is>
      </c>
      <c r="C35" s="26" t="n"/>
      <c r="D35" s="34" t="n"/>
      <c r="E35" s="26" t="inlineStr">
        <is>
          <t>100% bonus expired after 2022. 80% for 2023, 100% for 2024, 0% for 2025, 20% for 2026. Often combined with 6a.</t>
        </is>
      </c>
      <c r="F35" s="26" t="inlineStr">
        <is>
          <t>Form 4562</t>
        </is>
      </c>
      <c r="G35" s="26" t="inlineStr">
        <is>
          <t>If your depreciation software breaks out bonus separately, add here. Otherwise included in 6a.</t>
        </is>
      </c>
    </row>
    <row r="36" ht="27.75" customHeight="1" s="143">
      <c r="A36" s="19" t="inlineStr">
        <is>
          <t>6d</t>
        </is>
      </c>
      <c r="B36" s="35" t="inlineStr">
        <is>
          <t>Amortization (tax vs book difference)</t>
        </is>
      </c>
      <c r="C36" s="20" t="n"/>
      <c r="D36" s="37" t="n"/>
      <c r="E36" s="36" t="inlineStr">
        <is>
          <t>§197 intangibles, organizational costs, start-up costs. Tax amortization may differ from book.</t>
        </is>
      </c>
      <c r="F36" s="20" t="inlineStr">
        <is>
          <t>Form 4562 Part VI</t>
        </is>
      </c>
      <c r="G36" s="20" t="n"/>
    </row>
    <row r="37" ht="27.75" customHeight="1" s="143">
      <c r="A37" s="25" t="inlineStr">
        <is>
          <t>6e</t>
        </is>
      </c>
      <c r="B37" s="33" t="inlineStr">
        <is>
          <t>Other deductions on return not on books</t>
        </is>
      </c>
      <c r="C37" s="26" t="n"/>
      <c r="D37" s="34" t="n"/>
      <c r="E37" s="26" t="inlineStr">
        <is>
          <t>Catch-all: depletion, soil/water conservation, exploration expenditures, etc.</t>
        </is>
      </c>
      <c r="F37" s="26" t="n"/>
      <c r="G37" s="26" t="n"/>
    </row>
    <row r="38" ht="27.75" customHeight="1" s="143">
      <c r="A38" s="43" t="inlineStr">
        <is>
          <t>6</t>
        </is>
      </c>
      <c r="B38" s="42" t="inlineStr">
        <is>
          <t>TOTAL LINE 6 — Deductions on return not on books</t>
        </is>
      </c>
      <c r="C38" s="52" t="inlineStr">
        <is>
          <t>WTB r159</t>
        </is>
      </c>
      <c r="D38" s="32">
        <f>SUM(D33:D37)</f>
        <v/>
      </c>
      <c r="E38" s="52" t="n"/>
      <c r="F38" s="52" t="inlineStr">
        <is>
          <t>WTB M-1 Ln 6 total</t>
        </is>
      </c>
      <c r="G38" s="52" t="inlineStr">
        <is>
          <t>These amounts should be NEGATIVE (they reduce income per return).</t>
        </is>
      </c>
    </row>
    <row r="39" ht="15" customHeight="1" s="143"/>
    <row r="40" ht="27.75" customHeight="1" s="143">
      <c r="A40" s="43" t="inlineStr">
        <is>
          <t>7</t>
        </is>
      </c>
      <c r="B40" s="42" t="inlineStr">
        <is>
          <t>INCOME (LOSS) PER RETURN (Line 4 + Line 5 + Line 6)</t>
        </is>
      </c>
      <c r="C40" s="52" t="n"/>
      <c r="D40" s="39">
        <f>D24+D31+D38</f>
        <v/>
      </c>
      <c r="E40" s="52" t="n"/>
      <c r="F40" s="52" t="n"/>
      <c r="G40" s="52" t="inlineStr">
        <is>
          <t>THIS IS THE KEY NUMBER. Should = sum of all Sch K income items. Ties to WTB M-1 proof.</t>
        </is>
      </c>
    </row>
    <row r="41" ht="15" customHeight="1" s="143"/>
    <row r="42" ht="15" customHeight="1" s="143">
      <c r="A42" s="170" t="inlineStr">
        <is>
          <t>TIE-OUT CHECKS</t>
        </is>
      </c>
    </row>
    <row r="43" ht="15" customHeight="1" s="143">
      <c r="B43" s="173" t="inlineStr">
        <is>
          <t>M-1 Line 7 = WTB M-1 Proof Line 7</t>
        </is>
      </c>
      <c r="D43" s="10">
        <f>D40-'Working Trial Balance'!H180</f>
        <v/>
      </c>
      <c r="E43" s="173">
        <f>IF(D43=0,"✓ TIES","✗ OFF")</f>
        <v/>
      </c>
    </row>
    <row r="44" ht="15" customHeight="1" s="143">
      <c r="B44" s="173" t="inlineStr">
        <is>
          <t>M-1 Line 1 = PBC P&amp;L Net Income</t>
        </is>
      </c>
      <c r="D44" s="10">
        <f>D7-'P&amp;L'!B63</f>
        <v/>
      </c>
      <c r="E44" s="173">
        <f>IF(D44=0,"✓ TIES","✗ OFF")</f>
        <v/>
      </c>
    </row>
    <row r="45" ht="15" customHeight="1" s="143">
      <c r="B45" s="173" t="inlineStr">
        <is>
          <t>M-1 Line 3 total = WTB F150 (addbacks total)</t>
        </is>
      </c>
      <c r="D45" s="10">
        <f>D23-'Working Trial Balance'!H170</f>
        <v/>
      </c>
      <c r="E45" s="173">
        <f>IF(D45=0,"✓ TIES","✗ OFF")</f>
        <v/>
      </c>
    </row>
    <row r="46" ht="15" customHeight="1" s="143"/>
    <row r="47" ht="15" customHeight="1" s="143">
      <c r="A47" s="149" t="inlineStr">
        <is>
          <t>TEMPLATE NOTES — Highlighted items in column E are COMMON adjustments for most S-corp clients. Delete or zero unused lines for your client.</t>
        </is>
      </c>
    </row>
    <row r="48" ht="15" customHeight="1" s="143">
      <c r="A48" s="201" t="inlineStr">
        <is>
          <t>If gross receipts &gt; $250K AND total assets &gt; $10M → use Schedule M-3 (separate tab) instead of M-1. Both are included in this workbook.</t>
        </is>
      </c>
    </row>
  </sheetData>
  <mergeCells count="7">
    <mergeCell ref="A1:G1"/>
    <mergeCell ref="A3:G3"/>
    <mergeCell ref="A4:G4"/>
    <mergeCell ref="A48:G48"/>
    <mergeCell ref="A2:G2"/>
    <mergeCell ref="A47:G47"/>
    <mergeCell ref="A42:G42"/>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G75"/>
  <sheetViews>
    <sheetView tabSelected="1" zoomScaleNormal="100" workbookViewId="0">
      <pane ySplit="5" topLeftCell="A14" activePane="bottomLeft" state="frozen"/>
      <selection pane="bottomLeft" activeCell="B36" sqref="B36"/>
    </sheetView>
  </sheetViews>
  <sheetFormatPr baseColWidth="8" defaultColWidth="8.7109375" defaultRowHeight="15"/>
  <cols>
    <col width="65" customWidth="1" style="143" min="1" max="1"/>
    <col width="22" customWidth="1" style="143" min="2" max="2"/>
    <col width="20" customWidth="1" style="143" min="3" max="3"/>
    <col width="16" customWidth="1" style="143" min="4" max="4"/>
    <col width="22" customWidth="1" style="143" min="5" max="5"/>
    <col width="18" customWidth="1" style="143" min="6" max="6"/>
    <col width="60" customWidth="1" style="143" min="7" max="7"/>
  </cols>
  <sheetData>
    <row r="1" ht="15.75" customHeight="1" s="143">
      <c r="A1" s="144" t="inlineStr">
        <is>
          <t>[ENTITY NAME] — Schedule M-2 — Analysis of AAA, OAA, and Shareholders' Equity</t>
        </is>
      </c>
    </row>
    <row r="2" ht="15" customHeight="1" s="143">
      <c r="A2" s="147" t="inlineStr">
        <is>
          <t>Tax Year Ended [MM/DD/YYYY]</t>
        </is>
      </c>
    </row>
    <row r="3" ht="15" customHeight="1" s="143">
      <c r="A3" s="261" t="inlineStr">
        <is>
          <t>M-2 is TAX BASIS. PBC Balance Sheet is BOOK BASIS. The equity tie-out at the bottom reconciles the difference.</t>
        </is>
      </c>
    </row>
    <row r="4" ht="15" customHeight="1" s="143"/>
    <row r="5" ht="60" customHeight="1" s="143">
      <c r="A5" s="7" t="n"/>
      <c r="B5" s="7" t="inlineStr">
        <is>
          <t>AAA
(Accumulated
Adjustments
Account)</t>
        </is>
      </c>
      <c r="C5" s="7" t="inlineStr">
        <is>
          <t>OAA
(Other
Adjustments
Account)</t>
        </is>
      </c>
      <c r="D5" s="7" t="inlineStr">
        <is>
          <t>PTI
(Previously Taxed
Income)</t>
        </is>
      </c>
      <c r="E5" s="7" t="inlineStr">
        <is>
          <t>Retained
Earnings
(per Books)</t>
        </is>
      </c>
      <c r="F5" s="7" t="inlineStr">
        <is>
          <t>Sch K Line /
Source</t>
        </is>
      </c>
      <c r="G5" s="7" t="inlineStr">
        <is>
          <t>Notes</t>
        </is>
      </c>
    </row>
    <row r="6" ht="27.75" customHeight="1" s="143">
      <c r="A6" s="42" t="inlineStr">
        <is>
          <t>1. Balance at beginning of tax year</t>
        </is>
      </c>
      <c r="B6" s="186" t="n"/>
      <c r="C6" s="186" t="n"/>
      <c r="D6" s="186" t="n"/>
      <c r="E6" s="186" t="n"/>
      <c r="F6" s="62" t="inlineStr">
        <is>
          <t>Prior-year M-2 / Sch L</t>
        </is>
      </c>
      <c r="G6" s="63" t="inlineStr">
        <is>
          <t>⚠ MANUALLY ENTER: Must tie to prior-year M-2 ending balances. Obtain from prior-year return.</t>
        </is>
      </c>
    </row>
    <row r="7" ht="15" customHeight="1" s="143"/>
    <row r="8" ht="15" customHeight="1" s="143">
      <c r="A8" s="8" t="inlineStr">
        <is>
          <t>INCREASES</t>
        </is>
      </c>
      <c r="B8" s="8" t="n"/>
      <c r="C8" s="8" t="n"/>
      <c r="D8" s="8" t="n"/>
      <c r="E8" s="8" t="n"/>
      <c r="F8" s="8" t="n"/>
      <c r="G8" s="8" t="n"/>
    </row>
    <row r="9" ht="15" customHeight="1" s="143">
      <c r="A9" s="262" t="inlineStr">
        <is>
          <t>2. Ordinary business income (loss)</t>
        </is>
      </c>
      <c r="B9" s="250">
        <f>'Working Trial Balance'!F155</f>
        <v/>
      </c>
      <c r="C9" s="31" t="n"/>
      <c r="D9" s="31" t="n"/>
      <c r="E9" s="250">
        <f>'PBC - P&amp;L2'!B63</f>
        <v/>
      </c>
      <c r="F9" s="252" t="inlineStr">
        <is>
          <t>K Ln 1 / Pg 1 Ln 21</t>
        </is>
      </c>
      <c r="G9" s="263" t="inlineStr">
        <is>
          <t>AAA = tax OBI from WTB. RE = book net income from P&amp;L.</t>
        </is>
      </c>
    </row>
    <row r="10" ht="27.75" customHeight="1" s="143">
      <c r="A10" s="31" t="inlineStr">
        <is>
          <t>3a. Net rental income (equipment)</t>
        </is>
      </c>
      <c r="B10" s="82">
        <f>-('Working Trial Balance'!C66)-'Working Trial Balance'!D121</f>
        <v/>
      </c>
      <c r="C10" s="31" t="n"/>
      <c r="D10" s="31" t="n"/>
      <c r="E10" s="31" t="n"/>
      <c r="F10" s="62" t="inlineStr">
        <is>
          <t>K Ln 3a</t>
        </is>
      </c>
      <c r="G10" s="63" t="inlineStr">
        <is>
          <t>Net rental = income (−C66 = $85K moved to K) minus expenses (D121 = $35K). K Ln 3a net = $50K.</t>
        </is>
      </c>
    </row>
    <row r="11" ht="27.75" customHeight="1" s="143">
      <c r="A11" s="31" t="inlineStr">
        <is>
          <t>3b. Interest income</t>
        </is>
      </c>
      <c r="B11" s="82">
        <f>'Schedule K'!D16</f>
        <v/>
      </c>
      <c r="C11" s="31" t="n"/>
      <c r="D11" s="31" t="n"/>
      <c r="E11" s="31" t="n"/>
      <c r="F11" s="62" t="inlineStr">
        <is>
          <t>K Ln 4</t>
        </is>
      </c>
      <c r="G11" s="63" t="inlineStr">
        <is>
          <t>Sch K adj was negative (removed from Pg 1). Flip sign for AAA increase.</t>
        </is>
      </c>
    </row>
    <row r="12" ht="15" customHeight="1" s="143">
      <c r="A12" s="31" t="inlineStr">
        <is>
          <t>3c. Dividend income</t>
        </is>
      </c>
      <c r="B12" s="82">
        <f>'Schedule K'!D17</f>
        <v/>
      </c>
      <c r="C12" s="31" t="n"/>
      <c r="D12" s="31" t="n"/>
      <c r="E12" s="31" t="n"/>
      <c r="F12" s="62" t="inlineStr">
        <is>
          <t>K Ln 5a</t>
        </is>
      </c>
      <c r="G12" s="63" t="inlineStr">
        <is>
          <t>Same — flip Sch K adj sign. Qualified $6,800 → K Ln 5b.</t>
        </is>
      </c>
    </row>
    <row r="13" ht="15" customHeight="1" s="143">
      <c r="A13" s="31" t="inlineStr">
        <is>
          <t>3d. Net capital gains</t>
        </is>
      </c>
      <c r="B13" s="82">
        <f>'Schedule K'!D20</f>
        <v/>
      </c>
      <c r="C13" s="31" t="n"/>
      <c r="D13" s="31" t="n"/>
      <c r="E13" s="31" t="n"/>
      <c r="F13" s="62" t="inlineStr">
        <is>
          <t>K Ln 8a</t>
        </is>
      </c>
      <c r="G13" s="63" t="inlineStr">
        <is>
          <t>Net LTCG from stock sales = $12K. §1245 recapture ($10K) is ordinary income already in OBI (Ln 2). Only net capital gain goes here.</t>
        </is>
      </c>
    </row>
    <row r="14" ht="15" customHeight="1" s="143">
      <c r="A14" s="31" t="inlineStr">
        <is>
          <t>3e. §1231 gain (net)</t>
        </is>
      </c>
      <c r="B14" s="82" t="n"/>
      <c r="C14" s="31" t="n"/>
      <c r="D14" s="31" t="n"/>
      <c r="E14" s="31" t="n"/>
      <c r="F14" s="62" t="inlineStr">
        <is>
          <t>K Ln 9</t>
        </is>
      </c>
      <c r="G14" s="63" t="inlineStr">
        <is>
          <t>§1231 portion of equipment sale gain → AAA</t>
        </is>
      </c>
    </row>
    <row r="15" ht="41.25" customHeight="1" s="143">
      <c r="A15" s="262" t="inlineStr">
        <is>
          <t>3f. Ordinary gain (§1245 recapture)</t>
        </is>
      </c>
      <c r="B15" s="264" t="n">
        <v>0</v>
      </c>
      <c r="C15" s="31" t="n"/>
      <c r="D15" s="31" t="n"/>
      <c r="E15" s="31" t="n"/>
      <c r="F15" s="252" t="inlineStr">
        <is>
          <t>Pg 1 Ln 4 / F.4797</t>
        </is>
      </c>
      <c r="G15" s="263" t="inlineStr">
        <is>
          <t>§1245 recapture ($10K) is ORDINARY income → Pg 1 Ln 4 → Ln 21 → already in OBI (Ln 2 above). DO NOT add here — would double count.</t>
        </is>
      </c>
    </row>
    <row r="16" ht="15" customHeight="1" s="143">
      <c r="A16" s="31" t="inlineStr">
        <is>
          <t>3g. Tax-exempt interest</t>
        </is>
      </c>
      <c r="B16" s="31" t="n"/>
      <c r="C16" s="82">
        <f>'Working Trial Balance'!C72*-1</f>
        <v/>
      </c>
      <c r="D16" s="31" t="n"/>
      <c r="E16" s="31" t="n"/>
      <c r="F16" s="62" t="inlineStr">
        <is>
          <t>K Ln 16a</t>
        </is>
      </c>
      <c r="G16" s="63" t="inlineStr">
        <is>
          <t>Tax-exempt income → OAA, NOT AAA. Increases SH basis.</t>
        </is>
      </c>
    </row>
    <row r="17" ht="27.75" customHeight="1" s="143">
      <c r="A17" s="31" t="inlineStr">
        <is>
          <t>3h. Other tax-exempt income</t>
        </is>
      </c>
      <c r="B17" s="31" t="n"/>
      <c r="C17" s="31" t="n"/>
      <c r="D17" s="31" t="n"/>
      <c r="E17" s="31" t="n"/>
      <c r="F17" s="62" t="inlineStr">
        <is>
          <t>K Ln 16b</t>
        </is>
      </c>
      <c r="G17" s="63" t="inlineStr">
        <is>
          <t>PPP forgiveness, life insurance proceeds → OAA if applicable.</t>
        </is>
      </c>
    </row>
    <row r="18" ht="15" customHeight="1" s="143">
      <c r="A18" s="262" t="inlineStr">
        <is>
          <t>Total Increases</t>
        </is>
      </c>
      <c r="B18" s="202">
        <f>SUM(B9:B17)</f>
        <v/>
      </c>
      <c r="C18" s="202">
        <f>SUM(C9:C17)</f>
        <v/>
      </c>
      <c r="D18" s="202">
        <f>SUM(D9:D17)</f>
        <v/>
      </c>
      <c r="E18" s="202">
        <f>SUM(E9:E17)</f>
        <v/>
      </c>
      <c r="F18" s="62" t="n"/>
      <c r="G18" s="63" t="n"/>
    </row>
    <row r="19" ht="15" customHeight="1" s="143"/>
    <row r="20" ht="15" customHeight="1" s="143">
      <c r="A20" s="8" t="inlineStr">
        <is>
          <t>DECREASES</t>
        </is>
      </c>
      <c r="B20" s="8" t="n"/>
      <c r="C20" s="8" t="n"/>
      <c r="D20" s="8" t="n"/>
      <c r="E20" s="8" t="n"/>
      <c r="F20" s="8" t="n"/>
      <c r="G20" s="8" t="n"/>
    </row>
    <row r="21" ht="27.75" customHeight="1" s="143">
      <c r="A21" s="262" t="inlineStr">
        <is>
          <t>4a. Ordinary business loss</t>
        </is>
      </c>
      <c r="B21" s="31" t="n"/>
      <c r="C21" s="31" t="n"/>
      <c r="D21" s="31" t="n"/>
      <c r="E21" s="31" t="n"/>
      <c r="F21" s="252" t="inlineStr">
        <is>
          <t>K Ln 1</t>
        </is>
      </c>
      <c r="G21" s="263" t="inlineStr">
        <is>
          <t>If loss year — decreases AAA (can go negative from losses)</t>
        </is>
      </c>
    </row>
    <row r="22" ht="15" customHeight="1" s="143">
      <c r="A22" s="31" t="inlineStr">
        <is>
          <t>4b. §179 deduction</t>
        </is>
      </c>
      <c r="B22" s="186" t="n">
        <v>0</v>
      </c>
      <c r="C22" s="31" t="n"/>
      <c r="D22" s="31" t="n"/>
      <c r="E22" s="31" t="n"/>
      <c r="F22" s="62" t="inlineStr">
        <is>
          <t>See note →</t>
        </is>
      </c>
      <c r="G22" s="46" t="inlineStr">
        <is>
          <t>⚠ §179 ($17K) is included in D column deductions (WTB row 110), which reduces OBI in Ln 2 above. Listing it here would DOUBLE-COUNT. Set to $0. If your WTB moves §179 out of the D column, add it back here.</t>
        </is>
      </c>
    </row>
    <row r="23" ht="27.75" customHeight="1" s="143">
      <c r="A23" s="31" t="inlineStr">
        <is>
          <t>4c. Charitable contributions</t>
        </is>
      </c>
      <c r="B23" s="82">
        <f>'Schedule K'!D28</f>
        <v/>
      </c>
      <c r="C23" s="31" t="n"/>
      <c r="D23" s="31" t="n"/>
      <c r="E23" s="31" t="n"/>
      <c r="F23" s="62" t="inlineStr">
        <is>
          <t>K Ln 12a</t>
        </is>
      </c>
      <c r="G23" s="63" t="inlineStr">
        <is>
          <t>Separately stated → decreases AAA. Uses M-1 col (F) because that's where the separately stated amount is.</t>
        </is>
      </c>
    </row>
    <row r="24" ht="27.75" customHeight="1" s="143">
      <c r="A24" s="31" t="inlineStr">
        <is>
          <t>4d. Nondeductible expenses (K Ln 16c)</t>
        </is>
      </c>
      <c r="B24" s="31">
        <f>'Schedule K'!D58</f>
        <v/>
      </c>
      <c r="C24" s="31" t="n"/>
      <c r="D24" s="31" t="n"/>
      <c r="E24" s="31" t="n"/>
      <c r="F24" s="62" t="inlineStr">
        <is>
          <t>K Ln 16c</t>
        </is>
      </c>
      <c r="G24" s="63" t="inlineStr">
        <is>
          <t>These reduce SH BASIS only. They do NOT reduce AAA. Total $42,700 → K-1 Box 16C.</t>
        </is>
      </c>
    </row>
    <row r="25" hidden="1" ht="15" customHeight="1" s="143">
      <c r="A25" s="89" t="inlineStr">
        <is>
          <t xml:space="preserve">     • 50% meals disallowance $___</t>
        </is>
      </c>
      <c r="G25" s="90" t="inlineStr">
        <is>
          <t>Basis only</t>
        </is>
      </c>
    </row>
    <row r="26" hidden="1" ht="15" customHeight="1" s="143">
      <c r="A26" s="89" t="inlineStr">
        <is>
          <t xml:space="preserve">     • Entertainment (100%) $___</t>
        </is>
      </c>
      <c r="G26" s="90" t="inlineStr">
        <is>
          <t>Basis only</t>
        </is>
      </c>
    </row>
    <row r="27" hidden="1" ht="15" customHeight="1" s="143">
      <c r="A27" s="89" t="inlineStr">
        <is>
          <t xml:space="preserve">     • Penalties &amp; fines $___</t>
        </is>
      </c>
      <c r="G27" s="90" t="inlineStr">
        <is>
          <t>Basis only</t>
        </is>
      </c>
    </row>
    <row r="28" hidden="1" ht="15" customHeight="1" s="143">
      <c r="A28" s="89" t="inlineStr">
        <is>
          <t xml:space="preserve">     • Political contributions $___</t>
        </is>
      </c>
      <c r="G28" s="90" t="inlineStr">
        <is>
          <t>Basis only</t>
        </is>
      </c>
    </row>
    <row r="29" hidden="1" ht="15" customHeight="1" s="143">
      <c r="A29" s="89" t="inlineStr">
        <is>
          <t xml:space="preserve">     • Life insurance (corp beneficiary) $___</t>
        </is>
      </c>
      <c r="G29" s="90" t="inlineStr">
        <is>
          <t>Basis only</t>
        </is>
      </c>
    </row>
    <row r="30" hidden="1" ht="15" customHeight="1" s="143">
      <c r="A30" s="89" t="inlineStr">
        <is>
          <t xml:space="preserve">     • Club dues $___</t>
        </is>
      </c>
      <c r="G30" s="90" t="inlineStr">
        <is>
          <t>Basis only</t>
        </is>
      </c>
    </row>
    <row r="31" hidden="1" ht="15" customHeight="1" s="143">
      <c r="A31" s="265" t="inlineStr">
        <is>
          <t xml:space="preserve">     Total nondeductible $___</t>
        </is>
      </c>
      <c r="F31" s="252" t="inlineStr">
        <is>
          <t>K Ln 16c</t>
        </is>
      </c>
      <c r="G31" s="263" t="inlineStr">
        <is>
          <t>Reduces SH basis. Does NOT reduce AAA.</t>
        </is>
      </c>
    </row>
    <row r="32" ht="15" customHeight="1" s="143">
      <c r="A32" s="262" t="inlineStr">
        <is>
          <t>Total Decreases</t>
        </is>
      </c>
      <c r="B32" s="202">
        <f>SUM(B21:B24)</f>
        <v/>
      </c>
      <c r="C32" s="202">
        <f>SUM(C21:C24)</f>
        <v/>
      </c>
      <c r="D32" s="202">
        <f>SUM(D21:D24)</f>
        <v/>
      </c>
      <c r="E32" s="202">
        <f>SUM(E21:E24)</f>
        <v/>
      </c>
      <c r="F32" s="62" t="n"/>
      <c r="G32" s="63" t="n"/>
    </row>
    <row r="33" ht="15" customHeight="1" s="143"/>
    <row r="34" ht="27.75" customHeight="1" s="143">
      <c r="A34" s="31" t="inlineStr">
        <is>
          <t>5. Distributions</t>
        </is>
      </c>
      <c r="B34" s="82">
        <f>-' Balance Sheet'!E62</f>
        <v/>
      </c>
      <c r="C34" s="31" t="n"/>
      <c r="D34" s="31" t="n"/>
      <c r="E34" s="82">
        <f>B34</f>
        <v/>
      </c>
      <c r="F34" s="62" t="inlineStr">
        <is>
          <t>K Ln 16d</t>
        </is>
      </c>
      <c r="G34" s="63" t="inlineStr">
        <is>
          <t>Principal Shareholder $180K + — $120K = $300K. Formulas pull from WTB.</t>
        </is>
      </c>
    </row>
    <row r="35" ht="15" customHeight="1" s="143">
      <c r="A35" s="89" t="inlineStr">
        <is>
          <t xml:space="preserve">     DISTRIBUTION ORDERING RULES:</t>
        </is>
      </c>
    </row>
    <row r="36" ht="15" customHeight="1" s="143">
      <c r="A36" s="89" t="inlineStr">
        <is>
          <t xml:space="preserve">     1st: Reduce AAA (cannot go negative from distributions)</t>
        </is>
      </c>
      <c r="G36" s="90" t="inlineStr">
        <is>
          <t>Excess → next bucket</t>
        </is>
      </c>
    </row>
    <row r="37" ht="15" customHeight="1" s="143">
      <c r="A37" s="89" t="inlineStr">
        <is>
          <t xml:space="preserve">     2nd: Reduce accumulated E&amp;P (taxed as DIVIDEND to SH)</t>
        </is>
      </c>
      <c r="G37" s="90" t="inlineStr">
        <is>
          <t>Only if prior C-corp — N/A here</t>
        </is>
      </c>
    </row>
    <row r="38" ht="15" customHeight="1" s="143">
      <c r="A38" s="89" t="inlineStr">
        <is>
          <t xml:space="preserve">     3rd: Reduce OAA</t>
        </is>
      </c>
      <c r="G38" s="90" t="inlineStr">
        <is>
          <t>Tax-free to extent of OAA</t>
        </is>
      </c>
    </row>
    <row r="39" ht="15" customHeight="1" s="143">
      <c r="A39" s="89" t="inlineStr">
        <is>
          <t xml:space="preserve">     4th: Return of capital (reduce stock basis)</t>
        </is>
      </c>
      <c r="G39" s="90" t="inlineStr">
        <is>
          <t>Tax-free to extent of basis</t>
        </is>
      </c>
    </row>
    <row r="40" ht="15" customHeight="1" s="143">
      <c r="A40" s="89" t="inlineStr">
        <is>
          <t xml:space="preserve">     5th: Capital gain</t>
        </is>
      </c>
      <c r="G40" s="90" t="inlineStr">
        <is>
          <t>Excess over all basis → taxable LTCG</t>
        </is>
      </c>
    </row>
    <row r="41" ht="15" customHeight="1" s="143"/>
    <row r="42" ht="15" customHeight="1" s="143">
      <c r="A42" s="65" t="inlineStr">
        <is>
          <t>6. ENDING BALANCE</t>
        </is>
      </c>
      <c r="B42" s="39">
        <f>B6+B18-B32-B34</f>
        <v/>
      </c>
      <c r="C42" s="39">
        <f>C6+C18-C32</f>
        <v/>
      </c>
      <c r="D42" s="39">
        <f>D6+D18-D32</f>
        <v/>
      </c>
      <c r="E42" s="39">
        <f>E6+E18-E32-E34</f>
        <v/>
      </c>
      <c r="F42" s="92" t="n"/>
      <c r="G42" s="93" t="inlineStr">
        <is>
          <t>See equity tie-out below.</t>
        </is>
      </c>
    </row>
    <row r="43" ht="15" customHeight="1" s="143"/>
    <row r="44" ht="15" customHeight="1" s="143">
      <c r="A44" s="142" t="inlineStr">
        <is>
          <t>CHECK 1: AAA CANNOT GO NEGATIVE FROM DISTRIBUTIONS</t>
        </is>
      </c>
    </row>
    <row r="45" ht="15" customHeight="1" s="143">
      <c r="A45" t="inlineStr">
        <is>
          <t xml:space="preserve">   AAA before distributions</t>
        </is>
      </c>
      <c r="B45" s="10">
        <f>B6+B18-B32</f>
        <v/>
      </c>
    </row>
    <row r="46" ht="15" customHeight="1" s="143">
      <c r="A46" s="261" t="inlineStr">
        <is>
          <t xml:space="preserve">   Distributions</t>
        </is>
      </c>
      <c r="B46" s="10">
        <f>B34</f>
        <v/>
      </c>
    </row>
    <row r="47" ht="15" customHeight="1" s="143">
      <c r="A47" t="inlineStr">
        <is>
          <t xml:space="preserve">   AAA after distributions (= ending AAA)</t>
        </is>
      </c>
      <c r="B47" s="38">
        <f>B42</f>
        <v/>
      </c>
    </row>
    <row r="48" ht="15" customHeight="1" s="143">
      <c r="A48" s="173" t="inlineStr">
        <is>
          <t xml:space="preserve">   STATUS:</t>
        </is>
      </c>
      <c r="B48" s="173">
        <f>IF(B42&gt;=0,"OK - AAA positive","WARNING: AAA NEGATIVE - review distributions")</f>
        <v/>
      </c>
    </row>
    <row r="49" ht="15" customHeight="1" s="143"/>
    <row r="50" ht="15" customHeight="1" s="143">
      <c r="A50" s="146" t="inlineStr">
        <is>
          <t>CHECK 2: TAX-BASIS EQUITY (M-2 → Schedule L if tax basis)</t>
        </is>
      </c>
    </row>
    <row r="51" ht="15" customHeight="1" s="143">
      <c r="A51" t="inlineStr">
        <is>
          <t xml:space="preserve">   AAA ending</t>
        </is>
      </c>
      <c r="B51" s="10">
        <f>B42</f>
        <v/>
      </c>
    </row>
    <row r="52" ht="15" customHeight="1" s="143">
      <c r="A52" t="inlineStr">
        <is>
          <t xml:space="preserve">   + OAA ending</t>
        </is>
      </c>
      <c r="B52" s="10" t="n"/>
    </row>
    <row r="53" ht="15" customHeight="1" s="143">
      <c r="A53" t="inlineStr">
        <is>
          <t xml:space="preserve">   + Common Stock</t>
        </is>
      </c>
      <c r="B53" s="94">
        <f>'Schedule L'!D36</f>
        <v/>
      </c>
      <c r="G53" s="145" t="inlineStr">
        <is>
          <t>⚠ MANUALLY ENTER from Sch L / Articles of Incorporation</t>
        </is>
      </c>
    </row>
    <row r="54" ht="15" customHeight="1" s="143">
      <c r="A54" t="inlineStr">
        <is>
          <t xml:space="preserve">   + Additional Paid-In Capital</t>
        </is>
      </c>
      <c r="B54" s="94">
        <f>'Schedule L'!D37</f>
        <v/>
      </c>
      <c r="G54" s="145" t="inlineStr">
        <is>
          <t>⚠ MANUALLY ENTER from Sch L / capital records</t>
        </is>
      </c>
    </row>
    <row r="55" ht="15" customHeight="1" s="143">
      <c r="A55" s="173" t="inlineStr">
        <is>
          <t xml:space="preserve">   = TAX-BASIS EQUITY (if Sch L is tax basis, this IS Sch L equity)</t>
        </is>
      </c>
      <c r="B55" s="32">
        <f>SUM(B51:B54)</f>
        <v/>
      </c>
    </row>
    <row r="56" ht="15" customHeight="1" s="143"/>
    <row r="57" ht="15" customHeight="1" s="143">
      <c r="A57" s="148" t="inlineStr">
        <is>
          <t>CHECK 3: BOOK-TO-TAX EQUITY RECONCILIATION (if Sch L is BOOK basis)</t>
        </is>
      </c>
    </row>
    <row r="58" ht="15" customHeight="1" s="143">
      <c r="A58" t="inlineStr">
        <is>
          <t xml:space="preserve">   Book equity (from PBC Balance Sheet)</t>
        </is>
      </c>
      <c r="B58" s="10">
        <f>'PBC- Balance Sheet'!B88</f>
        <v/>
      </c>
    </row>
    <row r="59" ht="15" customHeight="1" s="143">
      <c r="A59" t="inlineStr">
        <is>
          <t xml:space="preserve">   Less: Tax-basis equity (from Check 2 above)</t>
        </is>
      </c>
      <c r="B59" s="10">
        <f>-B55</f>
        <v/>
      </c>
    </row>
    <row r="60" ht="15" customHeight="1" s="143">
      <c r="A60" s="173" t="inlineStr">
        <is>
          <t xml:space="preserve">   = Cumulative book-to-tax differences</t>
        </is>
      </c>
      <c r="B60" s="38">
        <f>B58+B59</f>
        <v/>
      </c>
    </row>
    <row r="61" ht="15" customHeight="1" s="143">
      <c r="A61" s="149" t="n"/>
    </row>
    <row r="62" ht="15" customHeight="1" s="143">
      <c r="A62" s="173" t="inlineStr">
        <is>
          <t xml:space="preserve">   This difference is explained by:</t>
        </is>
      </c>
      <c r="B62" s="168" t="n"/>
      <c r="C62" s="168" t="n"/>
      <c r="D62" s="168" t="n"/>
      <c r="E62" s="168" t="n"/>
      <c r="F62" s="168" t="n"/>
      <c r="G62" s="168" t="n"/>
    </row>
    <row r="63" ht="15" customHeight="1" s="143">
      <c r="A63" s="168" t="inlineStr">
        <is>
          <t xml:space="preserve">   Prior-year cumulative book-to-tax differences (beg RE − beg AAA − beg OAA)</t>
        </is>
      </c>
      <c r="B63" s="95">
        <f>E6-B6-C6</f>
        <v/>
      </c>
      <c r="C63" s="168" t="n"/>
      <c r="D63" s="168" t="n"/>
      <c r="E63" s="168" t="n"/>
      <c r="F63" s="168" t="n"/>
      <c r="G63" s="167" t="inlineStr">
        <is>
          <t>⚠ Computed from beginning balances — verify against prior-year workpaper</t>
        </is>
      </c>
    </row>
    <row r="64" ht="15" customHeight="1" s="143">
      <c r="A64" s="168" t="inlineStr">
        <is>
          <t xml:space="preserve">   + Unrealized gain on investments (book income, not on return)</t>
        </is>
      </c>
      <c r="B64" s="95">
        <f>'Working Trial Balance'!F73*-1</f>
        <v/>
      </c>
      <c r="C64" s="168" t="n"/>
      <c r="D64" s="168" t="n"/>
      <c r="E64" s="168" t="n"/>
      <c r="F64" s="168" t="n"/>
      <c r="G64" s="96" t="inlineStr">
        <is>
          <t>Book NI includes $9K unrealized gain; tax does not recognize → book equity higher</t>
        </is>
      </c>
    </row>
    <row r="65" ht="15" customHeight="1" s="143">
      <c r="A65" s="168" t="inlineStr">
        <is>
          <t xml:space="preserve">   − Entertainment expense (book expense, $0 on return)</t>
        </is>
      </c>
      <c r="B65" s="95">
        <f>'Working Trial Balance'!F100*-1</f>
        <v/>
      </c>
      <c r="C65" s="168" t="n"/>
      <c r="D65" s="168" t="n"/>
      <c r="E65" s="168" t="n"/>
      <c r="F65" s="168" t="n"/>
      <c r="G65" s="96" t="inlineStr">
        <is>
          <t>$12K on books as expense. Removed from return (D=0 via C adj). Reduces book RE, not AAA → book equity lower</t>
        </is>
      </c>
    </row>
    <row r="66" ht="15" customHeight="1" s="143">
      <c r="A66" s="168" t="inlineStr">
        <is>
          <t xml:space="preserve">   − &gt;2% SH health insurance (book expense, not on 1120-S)</t>
        </is>
      </c>
      <c r="B66" s="95" t="n"/>
      <c r="C66" s="168" t="n"/>
      <c r="D66" s="168" t="n"/>
      <c r="E66" s="168" t="n"/>
      <c r="F66" s="168" t="n"/>
      <c r="G66" s="96" t="inlineStr">
        <is>
          <t>$28K on books. Not deducted on 1120-S (goes to W-2/K-1). Reduces book RE, not AAA → book equity lower</t>
        </is>
      </c>
    </row>
    <row r="67" ht="15" customHeight="1" s="143">
      <c r="A67" s="168" t="inlineStr">
        <is>
          <t xml:space="preserve">   + Tax depreciation excess over book (MACRS $75K + §179 $17K vs book $60K)</t>
        </is>
      </c>
      <c r="B67" s="95">
        <f>'Working Trial Balance'!D109+'Working Trial Balance'!D110-('Working Trial Balance'!F105+'Working Trial Balance'!F106+'Working Trial Balance'!F107+'Working Trial Balance'!F108)</f>
        <v/>
      </c>
      <c r="C67" s="168" t="n"/>
      <c r="D67" s="168" t="n"/>
      <c r="E67" s="168" t="n"/>
      <c r="F67" s="168" t="n"/>
      <c r="G67" s="96" t="inlineStr">
        <is>
          <t>Tax depr (MACRS+§179) = $92K vs book SL = $60K. Extra $32K tax deduction reduces AAA below RE → book equity higher. Note: §179 is in D column / OBI in this WTB.</t>
        </is>
      </c>
    </row>
    <row r="68" ht="15" customHeight="1" s="143">
      <c r="A68" s="168" t="inlineStr">
        <is>
          <t xml:space="preserve">   + Rental expenses (on return via K Ln 3, not on book P&amp;L)</t>
        </is>
      </c>
      <c r="B68" s="95">
        <f>'Working Trial Balance'!D121</f>
        <v/>
      </c>
      <c r="C68" s="168" t="n"/>
      <c r="D68" s="168" t="n"/>
      <c r="E68" s="168" t="n"/>
      <c r="F68" s="168" t="n"/>
      <c r="G68" s="96" t="inlineStr">
        <is>
          <t>$35K rental expense reduces AAA (via net rental on K Ln 3a) but is NOT on book P&amp;L → book equity higher</t>
        </is>
      </c>
    </row>
    <row r="69" ht="15" customHeight="1" s="143">
      <c r="A69" s="168" t="inlineStr">
        <is>
          <t xml:space="preserve">   + WTB structural adjustment: nondeductibles included in D/OBI</t>
        </is>
      </c>
      <c r="B69" s="97">
        <f>B60-SUM(B63:B68)</f>
        <v/>
      </c>
      <c r="C69" s="168" t="n"/>
      <c r="D69" s="168" t="n"/>
      <c r="E69" s="168" t="n"/>
      <c r="F69" s="168" t="n"/>
      <c r="G69" s="167" t="inlineStr">
        <is>
          <t>⚠ STRUCTURAL: This WTB includes meals (50%), political ($5K), penalties ($3.5K), life ins ($7.2K), and club dues ($6K) in D column deductions / OBI. These reduce AAA via OBI but are actually nondeductible. This line is a formula plug = cumulative diff − other items. If you move these out of D column (add Sch K adj), this line should become zero.</t>
        </is>
      </c>
    </row>
    <row r="70" ht="15" customHeight="1" s="143">
      <c r="A70" s="201" t="inlineStr">
        <is>
          <t xml:space="preserve">   = Total explained differences</t>
        </is>
      </c>
      <c r="B70" s="202">
        <f>SUM(B63:B69)</f>
        <v/>
      </c>
      <c r="C70" s="168" t="n"/>
      <c r="D70" s="168" t="n"/>
      <c r="E70" s="168" t="n"/>
      <c r="F70" s="168" t="n"/>
      <c r="G70" s="168" t="n"/>
    </row>
    <row r="71" ht="15" customHeight="1" s="143">
      <c r="A71" s="168" t="n"/>
      <c r="B71" s="95" t="n"/>
      <c r="C71" s="168" t="n"/>
      <c r="D71" s="168" t="n"/>
      <c r="E71" s="168" t="n"/>
      <c r="F71" s="168" t="n"/>
      <c r="G71" s="168" t="n"/>
    </row>
    <row r="72" ht="15" customHeight="1" s="143">
      <c r="A72" s="98" t="inlineStr">
        <is>
          <t xml:space="preserve">   VARIANCE (Cumulative diff − Explained — should be zero)</t>
        </is>
      </c>
      <c r="B72" s="99">
        <f>B60-B70</f>
        <v/>
      </c>
      <c r="C72" s="168" t="n"/>
      <c r="D72" s="168" t="n"/>
      <c r="E72" s="168" t="n"/>
      <c r="F72" s="168" t="n"/>
      <c r="G72" s="168" t="n"/>
    </row>
    <row r="73" ht="15" customHeight="1" s="143">
      <c r="A73" s="168" t="n"/>
      <c r="B73" s="168" t="n"/>
      <c r="C73" s="168" t="n"/>
      <c r="D73" s="168" t="n"/>
      <c r="E73" s="168" t="n"/>
      <c r="F73" s="168" t="n"/>
      <c r="G73" s="168" t="n"/>
    </row>
    <row r="74" ht="15" customHeight="1" s="143">
      <c r="A74" s="168" t="n"/>
      <c r="B74" s="168" t="n"/>
      <c r="C74" s="168" t="n"/>
      <c r="D74" s="168" t="n"/>
      <c r="E74" s="168" t="n"/>
      <c r="F74" s="168" t="n"/>
      <c r="G74" s="168" t="n"/>
    </row>
    <row r="75" ht="15" customHeight="1" s="143">
      <c r="A75" s="168" t="n"/>
      <c r="B75" s="168" t="n"/>
      <c r="C75" s="168" t="n"/>
      <c r="D75" s="168" t="n"/>
      <c r="E75" s="168" t="n"/>
      <c r="F75" s="168" t="n"/>
      <c r="G75" s="168" t="n"/>
    </row>
  </sheetData>
  <mergeCells count="6">
    <mergeCell ref="A44:G44"/>
    <mergeCell ref="A1:G1"/>
    <mergeCell ref="A3:G3"/>
    <mergeCell ref="A50:G50"/>
    <mergeCell ref="A2:G2"/>
    <mergeCell ref="A57:G57"/>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H55"/>
  <sheetViews>
    <sheetView zoomScaleNormal="100" workbookViewId="0">
      <pane ySplit="6" topLeftCell="A25" activePane="bottomLeft" state="frozen"/>
      <selection pane="bottomLeft" activeCell="D48" sqref="D48"/>
    </sheetView>
  </sheetViews>
  <sheetFormatPr baseColWidth="8" defaultColWidth="8.7109375" defaultRowHeight="15"/>
  <cols>
    <col width="10" customWidth="1" style="143" min="1" max="1"/>
    <col width="42" customWidth="1" style="143" min="2" max="2"/>
    <col width="18" customWidth="1" style="143" min="3" max="6"/>
    <col width="20" customWidth="1" style="143" min="7" max="7"/>
    <col width="55" customWidth="1" style="143" min="8" max="8"/>
  </cols>
  <sheetData>
    <row r="1" ht="17.25" customHeight="1" s="143">
      <c r="A1" s="166" t="inlineStr">
        <is>
          <t>[ENTITY NAME] — Schedule L — Balance Sheets per Books</t>
        </is>
      </c>
    </row>
    <row r="2" ht="15" customHeight="1" s="143">
      <c r="A2" s="168" t="inlineStr">
        <is>
          <t>Tax Year Ended [MM/DD/YYYY]</t>
        </is>
      </c>
    </row>
    <row r="3" ht="15" customHeight="1" s="143">
      <c r="A3" s="149" t="inlineStr">
        <is>
          <t>[ENTITY NAME] (S-Corp) — EIN: [XX-XXXXXXX]</t>
        </is>
      </c>
    </row>
    <row r="4" ht="15" customHeight="1" s="143">
      <c r="A4" s="145" t="inlineStr">
        <is>
          <t>BOY = Beginning of Year (from prior-year return Sch L ending balances). EOY = End of Year (from current-year PBC / WTB). Red cells = manually enter from prior-year return.</t>
        </is>
      </c>
    </row>
    <row r="5" ht="15" customHeight="1" s="143"/>
    <row r="6" ht="36" customHeight="1" s="143">
      <c r="A6" s="18" t="inlineStr">
        <is>
          <t>Line</t>
        </is>
      </c>
      <c r="B6" s="18" t="inlineStr">
        <is>
          <t>Description</t>
        </is>
      </c>
      <c r="C6" s="18" t="inlineStr">
        <is>
          <t>[PY]
Amount</t>
        </is>
      </c>
      <c r="D6" s="18" t="inlineStr">
        <is>
          <t>(b) BOY
Amount</t>
        </is>
      </c>
      <c r="E6" s="18" t="inlineStr">
        <is>
          <t>[CY]
Amount</t>
        </is>
      </c>
      <c r="F6" s="18" t="inlineStr">
        <is>
          <t>(d) EOY
Amount</t>
        </is>
      </c>
      <c r="G6" s="18" t="inlineStr">
        <is>
          <t>Ties To</t>
        </is>
      </c>
      <c r="H6" s="18" t="inlineStr">
        <is>
          <t>Notes / Source</t>
        </is>
      </c>
    </row>
    <row r="7" ht="30" customHeight="1" s="143">
      <c r="A7" s="53" t="n"/>
      <c r="B7" s="169" t="inlineStr">
        <is>
          <t>Sch L has dual columns: (a)/(c) for gross amounts, (b)/(d) for offsets (e.g., reserves, accum depr). Some lines use only (b)/(d).</t>
        </is>
      </c>
    </row>
    <row r="8" ht="15" customHeight="1" s="143">
      <c r="A8" s="176" t="n"/>
      <c r="B8" s="176" t="inlineStr">
        <is>
          <t>ASSETS</t>
        </is>
      </c>
      <c r="C8" s="176" t="n"/>
      <c r="D8" s="176" t="n"/>
      <c r="E8" s="176" t="n"/>
      <c r="F8" s="176" t="n"/>
      <c r="G8" s="176" t="n"/>
      <c r="H8" s="176" t="n"/>
    </row>
    <row r="9" ht="15" customHeight="1" s="143">
      <c r="A9" s="25" t="inlineStr">
        <is>
          <t>1</t>
        </is>
      </c>
      <c r="B9" s="33" t="inlineStr">
        <is>
          <t>Cash</t>
        </is>
      </c>
      <c r="C9" s="186" t="n"/>
      <c r="D9" s="33" t="n"/>
      <c r="E9" s="34">
        <f>' Balance Sheet'!B8</f>
        <v/>
      </c>
      <c r="F9" s="33" t="n"/>
      <c r="G9" s="33" t="inlineStr">
        <is>
          <t>WTB r8-9</t>
        </is>
      </c>
      <c r="H9" s="50" t="inlineStr">
        <is>
          <t>⚠ MANUALLY ENTER — BOY from prior-year 1120-S, Sch L Ln 1(d)</t>
        </is>
      </c>
    </row>
    <row r="10" ht="15" customHeight="1" s="143">
      <c r="A10" s="19" t="inlineStr">
        <is>
          <t>2a</t>
        </is>
      </c>
      <c r="B10" s="35" t="inlineStr">
        <is>
          <t>Trade notes &amp; accounts receivable</t>
        </is>
      </c>
      <c r="C10" s="186" t="n"/>
      <c r="D10" s="35" t="n"/>
      <c r="E10" s="37">
        <f>' Balance Sheet'!B10</f>
        <v/>
      </c>
      <c r="F10" s="35" t="n"/>
      <c r="G10" s="35" t="inlineStr">
        <is>
          <t>WTB r10</t>
        </is>
      </c>
      <c r="H10" s="46" t="inlineStr">
        <is>
          <t>⚠ MANUALLY ENTER — BOY from prior-year Sch L Ln 2a(a)</t>
        </is>
      </c>
    </row>
    <row r="11" ht="15" customHeight="1" s="143">
      <c r="A11" s="25" t="inlineStr">
        <is>
          <t>2b</t>
        </is>
      </c>
      <c r="B11" s="33" t="inlineStr">
        <is>
          <t>Less allowance for bad debts</t>
        </is>
      </c>
      <c r="C11" s="33" t="n"/>
      <c r="D11" s="186" t="n"/>
      <c r="E11" s="33">
        <f>'Working Trial Balance'!F11</f>
        <v/>
      </c>
      <c r="F11" s="34" t="n"/>
      <c r="G11" s="33" t="inlineStr">
        <is>
          <t>WTB r11</t>
        </is>
      </c>
      <c r="H11" s="50" t="inlineStr">
        <is>
          <t>⚠ MANUALLY ENTER — BOY from prior-year Sch L Ln 2b(b)</t>
        </is>
      </c>
    </row>
    <row r="12" ht="15" customHeight="1" s="143">
      <c r="A12" s="19" t="inlineStr">
        <is>
          <t>3</t>
        </is>
      </c>
      <c r="B12" s="35" t="inlineStr">
        <is>
          <t>Inventories</t>
        </is>
      </c>
      <c r="C12" s="186" t="n"/>
      <c r="D12" s="35" t="n"/>
      <c r="E12" s="37">
        <f>' Balance Sheet'!B14</f>
        <v/>
      </c>
      <c r="F12" s="35" t="n"/>
      <c r="G12" s="35" t="inlineStr">
        <is>
          <t>WTB r14</t>
        </is>
      </c>
      <c r="H12" s="46" t="inlineStr">
        <is>
          <t>⚠ MANUALLY ENTER — BOY from prior-year Sch L Ln 3(d)</t>
        </is>
      </c>
    </row>
    <row r="13" ht="15" customHeight="1" s="143">
      <c r="A13" s="25" t="inlineStr">
        <is>
          <t>4</t>
        </is>
      </c>
      <c r="B13" s="33" t="inlineStr">
        <is>
          <t>U.S. government obligations</t>
        </is>
      </c>
      <c r="C13" s="33" t="n"/>
      <c r="D13" s="33" t="n"/>
      <c r="E13" s="33" t="n"/>
      <c r="F13" s="33" t="n"/>
      <c r="G13" s="33" t="n"/>
      <c r="H13" s="26" t="inlineStr">
        <is>
          <t>Treasury bills, notes, bonds. Most S-corps leave blank.</t>
        </is>
      </c>
    </row>
    <row r="14" ht="15" customHeight="1" s="143">
      <c r="A14" s="19" t="inlineStr">
        <is>
          <t>5a</t>
        </is>
      </c>
      <c r="B14" s="35" t="inlineStr">
        <is>
          <t>Tax-exempt securities</t>
        </is>
      </c>
      <c r="C14" s="186" t="n"/>
      <c r="D14" s="35" t="n"/>
      <c r="E14" s="37">
        <f>' Balance Sheet'!B19</f>
        <v/>
      </c>
      <c r="F14" s="35" t="n"/>
      <c r="G14" s="35" t="inlineStr">
        <is>
          <t>WTB r18</t>
        </is>
      </c>
      <c r="H14" s="46" t="inlineStr">
        <is>
          <t>⚠ MANUALLY ENTER — BOY from prior-year Sch L Ln 5a(d)</t>
        </is>
      </c>
    </row>
    <row r="15" ht="15" customHeight="1" s="143">
      <c r="A15" s="25" t="inlineStr">
        <is>
          <t>6</t>
        </is>
      </c>
      <c r="B15" s="33" t="inlineStr">
        <is>
          <t>Other current assets</t>
        </is>
      </c>
      <c r="C15" s="186" t="n"/>
      <c r="D15" s="33" t="n"/>
      <c r="E15" s="34">
        <f>' Balance Sheet'!B12+' Balance Sheet'!B13</f>
        <v/>
      </c>
      <c r="F15" s="33" t="n"/>
      <c r="G15" s="33" t="inlineStr">
        <is>
          <t>WTB r12-13</t>
        </is>
      </c>
      <c r="H15" s="50" t="inlineStr">
        <is>
          <t>⚠ MANUALLY ENTER — BOY from prior-year Sch L Ln 6(d)</t>
        </is>
      </c>
    </row>
    <row r="16" ht="27.75" customHeight="1" s="143">
      <c r="A16" s="19" t="inlineStr">
        <is>
          <t>7</t>
        </is>
      </c>
      <c r="B16" s="35" t="inlineStr">
        <is>
          <t>Loans to shareholders</t>
        </is>
      </c>
      <c r="C16" s="198" t="n"/>
      <c r="D16" s="35" t="n"/>
      <c r="E16" s="35" t="n"/>
      <c r="F16" s="35" t="n"/>
      <c r="G16" s="35" t="n"/>
      <c r="H16" s="20" t="n"/>
    </row>
    <row r="17" ht="15" customHeight="1" s="143">
      <c r="A17" s="25" t="inlineStr">
        <is>
          <t>8</t>
        </is>
      </c>
      <c r="B17" s="33" t="inlineStr">
        <is>
          <t>Mortgage &amp; real estate loans</t>
        </is>
      </c>
      <c r="C17" s="33" t="n"/>
      <c r="D17" s="33" t="n"/>
      <c r="E17" s="33" t="n"/>
      <c r="F17" s="33" t="n"/>
      <c r="G17" s="33" t="n"/>
      <c r="H17" s="26" t="inlineStr">
        <is>
          <t>Notes receivable from RE loans. Most service S-corps = $0.</t>
        </is>
      </c>
    </row>
    <row r="18" ht="15" customHeight="1" s="143">
      <c r="A18" s="19" t="inlineStr">
        <is>
          <t>9</t>
        </is>
      </c>
      <c r="B18" s="35" t="inlineStr">
        <is>
          <t>Other investments</t>
        </is>
      </c>
      <c r="C18" s="186" t="n"/>
      <c r="D18" s="35" t="n"/>
      <c r="E18" s="37">
        <f>' Balance Sheet'!B18</f>
        <v/>
      </c>
      <c r="F18" s="35" t="n"/>
      <c r="G18" s="35" t="inlineStr">
        <is>
          <t>WTB r17</t>
        </is>
      </c>
      <c r="H18" s="46" t="inlineStr">
        <is>
          <t>⚠ MANUALLY ENTER — BOY from prior-year Sch L Ln 9(d)</t>
        </is>
      </c>
    </row>
    <row r="19" ht="23.25" customHeight="1" s="143">
      <c r="A19" s="25" t="inlineStr">
        <is>
          <t>10a</t>
        </is>
      </c>
      <c r="B19" s="33" t="inlineStr">
        <is>
          <t>Buildings &amp; other depreciable assets</t>
        </is>
      </c>
      <c r="C19" s="45" t="n"/>
      <c r="D19" s="33" t="n"/>
      <c r="E19" s="34">
        <f>' Balance Sheet'!B23+' Balance Sheet'!B25+' Balance Sheet'!B27+' Balance Sheet'!B29</f>
        <v/>
      </c>
      <c r="F19" s="33" t="n"/>
      <c r="G19" s="33" t="inlineStr">
        <is>
          <t>WTB r21,23,25,27</t>
        </is>
      </c>
      <c r="H19" s="50" t="inlineStr">
        <is>
          <t>⚠ MANUALLY ENTER — BOY from prior-year Sch L Ln 10a(a). If tax-basis Sch L, use tax cost basis.</t>
        </is>
      </c>
    </row>
    <row r="20" ht="23.25" customHeight="1" s="143">
      <c r="A20" s="19" t="inlineStr">
        <is>
          <t>10b</t>
        </is>
      </c>
      <c r="B20" s="35" t="inlineStr">
        <is>
          <t>Less accumulated depreciation</t>
        </is>
      </c>
      <c r="C20" s="35" t="n"/>
      <c r="D20" s="45" t="n"/>
      <c r="E20" s="141">
        <f>' Balance Sheet'!B24+' Balance Sheet'!B26+' Balance Sheet'!B28+' Balance Sheet'!B30</f>
        <v/>
      </c>
      <c r="F20" s="37" t="n"/>
      <c r="G20" s="35" t="inlineStr">
        <is>
          <t>WTB r22,24,26,28</t>
        </is>
      </c>
      <c r="H20" s="46" t="inlineStr">
        <is>
          <t>⚠ MANUALLY ENTER — BOY from prior-year Sch L Ln 10b(b). CRITICAL: book vs tax depr difference.</t>
        </is>
      </c>
    </row>
    <row r="21" ht="15" customHeight="1" s="143">
      <c r="A21" s="25" t="inlineStr">
        <is>
          <t>11a</t>
        </is>
      </c>
      <c r="B21" s="33" t="inlineStr">
        <is>
          <t>Depletable assets</t>
        </is>
      </c>
      <c r="C21" s="33" t="n"/>
      <c r="D21" s="33" t="n"/>
      <c r="E21" s="33" t="n"/>
      <c r="F21" s="33" t="n"/>
      <c r="G21" s="33" t="n"/>
      <c r="H21" s="26" t="inlineStr">
        <is>
          <t>Oil/gas, mining, timber. Most service S-corps = $0.</t>
        </is>
      </c>
    </row>
    <row r="22" ht="15" customHeight="1" s="143">
      <c r="A22" s="19" t="inlineStr">
        <is>
          <t>11b</t>
        </is>
      </c>
      <c r="B22" s="35" t="inlineStr">
        <is>
          <t>Less accumulated depletion</t>
        </is>
      </c>
      <c r="C22" s="35" t="n"/>
      <c r="D22" s="35" t="n"/>
      <c r="E22" s="35" t="n"/>
      <c r="F22" s="35" t="n"/>
      <c r="G22" s="35" t="n"/>
      <c r="H22" s="35" t="n"/>
    </row>
    <row r="23" ht="15" customHeight="1" s="143">
      <c r="A23" s="25" t="inlineStr">
        <is>
          <t>12</t>
        </is>
      </c>
      <c r="B23" s="33" t="inlineStr">
        <is>
          <t>Land (net of any amortization)</t>
        </is>
      </c>
      <c r="C23" s="33" t="n"/>
      <c r="D23" s="33" t="n"/>
      <c r="E23" s="33" t="n"/>
      <c r="F23" s="33" t="n"/>
      <c r="G23" s="33" t="n"/>
      <c r="H23" s="26" t="inlineStr">
        <is>
          <t>Land is NOT depreciable. Separate from Ln 10a.</t>
        </is>
      </c>
    </row>
    <row r="24" ht="15" customHeight="1" s="143">
      <c r="A24" s="19" t="inlineStr">
        <is>
          <t>13a</t>
        </is>
      </c>
      <c r="B24" s="35" t="inlineStr">
        <is>
          <t>Intangible assets (amortizable only)</t>
        </is>
      </c>
      <c r="C24" s="186" t="n"/>
      <c r="D24" s="35" t="n"/>
      <c r="E24" s="37">
        <f>' Balance Sheet'!B35</f>
        <v/>
      </c>
      <c r="F24" s="35" t="n"/>
      <c r="G24" s="35" t="inlineStr">
        <is>
          <t>WTB r32</t>
        </is>
      </c>
      <c r="H24" s="46" t="inlineStr">
        <is>
          <t>⚠ MANUALLY ENTER — BOY from prior-year Sch L Ln 13a(a)</t>
        </is>
      </c>
    </row>
    <row r="25" ht="27.75" customHeight="1" s="143">
      <c r="A25" s="25" t="inlineStr">
        <is>
          <t>13b</t>
        </is>
      </c>
      <c r="B25" s="33" t="inlineStr">
        <is>
          <t>Less accumulated amortization</t>
        </is>
      </c>
      <c r="C25" s="33" t="n"/>
      <c r="D25" s="33" t="n"/>
      <c r="E25" s="33" t="n"/>
      <c r="F25" s="33" t="n"/>
      <c r="G25" s="33" t="n"/>
      <c r="H25" s="26" t="inlineStr">
        <is>
          <t>If PBC provides org costs NET, this may be $0 and net amount goes in 13a. Check.</t>
        </is>
      </c>
    </row>
    <row r="26" ht="15" customHeight="1" s="143">
      <c r="A26" s="19" t="inlineStr">
        <is>
          <t>14</t>
        </is>
      </c>
      <c r="B26" s="35" t="inlineStr">
        <is>
          <t>Other assets (attach statement)</t>
        </is>
      </c>
      <c r="C26" s="186" t="n"/>
      <c r="D26" s="35" t="n"/>
      <c r="E26" s="37">
        <f>' Balance Sheet'!B34</f>
        <v/>
      </c>
      <c r="F26" s="35" t="n"/>
      <c r="G26" s="35" t="inlineStr">
        <is>
          <t>WTB r31</t>
        </is>
      </c>
      <c r="H26" s="46" t="inlineStr">
        <is>
          <t>⚠ MANUALLY ENTER — BOY from prior-year Sch L Ln 14(d)</t>
        </is>
      </c>
    </row>
    <row r="27" ht="27.75" customHeight="1" s="143">
      <c r="A27" s="43" t="inlineStr">
        <is>
          <t>15</t>
        </is>
      </c>
      <c r="B27" s="42" t="inlineStr">
        <is>
          <t>TOTAL ASSETS</t>
        </is>
      </c>
      <c r="C27" s="32">
        <f>SUM(C9:C26)</f>
        <v/>
      </c>
      <c r="D27" s="32">
        <f>D11+D20</f>
        <v/>
      </c>
      <c r="E27" s="32">
        <f>SUM(E9:E26)</f>
        <v/>
      </c>
      <c r="F27" s="32">
        <f>F11+F20</f>
        <v/>
      </c>
      <c r="G27" s="42" t="inlineStr">
        <is>
          <t>WTB r35</t>
        </is>
      </c>
      <c r="H27" s="52" t="inlineStr">
        <is>
          <t>Net total assets = (a/c) gross − (b/d) contras. Must tie to WTB Total Assets.</t>
        </is>
      </c>
    </row>
    <row r="28" ht="15" customHeight="1" s="143">
      <c r="E28" s="133">
        <f>E27-'Working Trial Balance'!F35</f>
        <v/>
      </c>
    </row>
    <row r="29" ht="15" customHeight="1" s="143">
      <c r="A29" s="176" t="n"/>
      <c r="B29" s="176" t="inlineStr">
        <is>
          <t>LIABILITIES AND SHAREHOLDERS' EQUITY</t>
        </is>
      </c>
      <c r="C29" s="176" t="n"/>
      <c r="D29" s="176" t="n"/>
      <c r="E29" s="176" t="n"/>
      <c r="F29" s="176" t="n"/>
      <c r="G29" s="176" t="n"/>
      <c r="H29" s="176" t="n"/>
    </row>
    <row r="30" ht="15" customHeight="1" s="143">
      <c r="A30" s="25" t="inlineStr">
        <is>
          <t>16</t>
        </is>
      </c>
      <c r="B30" s="33" t="inlineStr">
        <is>
          <t>Accounts payable</t>
        </is>
      </c>
      <c r="C30" s="33" t="n"/>
      <c r="D30" s="186" t="n"/>
      <c r="E30" s="33" t="n"/>
      <c r="F30" s="34">
        <f>' Balance Sheet'!B42</f>
        <v/>
      </c>
      <c r="G30" s="33" t="inlineStr">
        <is>
          <t>WTB r38</t>
        </is>
      </c>
      <c r="H30" s="50" t="inlineStr">
        <is>
          <t>⚠ MANUALLY ENTER — BOY from prior-year Sch L Ln 16(d)</t>
        </is>
      </c>
    </row>
    <row r="31" ht="15" customHeight="1" s="143">
      <c r="A31" s="19" t="inlineStr">
        <is>
          <t>17</t>
        </is>
      </c>
      <c r="B31" s="35" t="inlineStr">
        <is>
          <t>Mortgages, notes, bonds payable &lt; 1 year</t>
        </is>
      </c>
      <c r="C31" s="35" t="n"/>
      <c r="D31" s="186" t="n"/>
      <c r="E31" s="35" t="n"/>
      <c r="F31" s="37">
        <f>' Balance Sheet'!B47</f>
        <v/>
      </c>
      <c r="G31" s="35" t="inlineStr">
        <is>
          <t>WTB r43</t>
        </is>
      </c>
      <c r="H31" s="46" t="inlineStr">
        <is>
          <t>⚠ MANUALLY ENTER — BOY from prior-year Sch L Ln 17(d)</t>
        </is>
      </c>
    </row>
    <row r="32" ht="15" customHeight="1" s="143">
      <c r="A32" s="25" t="inlineStr">
        <is>
          <t>18</t>
        </is>
      </c>
      <c r="B32" s="33" t="inlineStr">
        <is>
          <t>Other current liabilities (attach statement)</t>
        </is>
      </c>
      <c r="C32" s="33" t="n"/>
      <c r="D32" s="186" t="n"/>
      <c r="E32" s="33" t="n"/>
      <c r="F32" s="34">
        <f>' Balance Sheet'!B43+' Balance Sheet'!B44+' Balance Sheet'!B45+' Balance Sheet'!B46</f>
        <v/>
      </c>
      <c r="G32" s="33" t="inlineStr">
        <is>
          <t>WTB r39-42</t>
        </is>
      </c>
      <c r="H32" s="50" t="inlineStr">
        <is>
          <t>⚠ MANUALLY ENTER — BOY from prior-year Sch L Ln 18(d)</t>
        </is>
      </c>
    </row>
    <row r="33" ht="15" customHeight="1" s="143">
      <c r="A33" s="19" t="inlineStr">
        <is>
          <t>19</t>
        </is>
      </c>
      <c r="B33" s="35" t="inlineStr">
        <is>
          <t>Loans from shareholders</t>
        </is>
      </c>
      <c r="C33" s="35" t="n"/>
      <c r="D33" s="186" t="n"/>
      <c r="E33" s="35" t="n"/>
      <c r="F33" s="37">
        <f>' Balance Sheet'!B53</f>
        <v/>
      </c>
      <c r="G33" s="35" t="inlineStr">
        <is>
          <t>WTB r46</t>
        </is>
      </c>
      <c r="H33" s="46" t="inlineStr">
        <is>
          <t>⚠ MANUALLY ENTER — BOY from prior-year Sch L Ln 19(d)</t>
        </is>
      </c>
    </row>
    <row r="34" ht="15" customHeight="1" s="143">
      <c r="A34" s="25" t="inlineStr">
        <is>
          <t>20</t>
        </is>
      </c>
      <c r="B34" s="33" t="inlineStr">
        <is>
          <t>Mortgages, notes, bonds payable ≥ 1 year</t>
        </is>
      </c>
      <c r="C34" s="33" t="n"/>
      <c r="D34" s="186" t="n"/>
      <c r="E34" s="33" t="n"/>
      <c r="F34" s="34">
        <f>' Balance Sheet'!B51+' Balance Sheet'!B52</f>
        <v/>
      </c>
      <c r="G34" s="33" t="inlineStr">
        <is>
          <t>WTB r44-45</t>
        </is>
      </c>
      <c r="H34" s="50" t="inlineStr">
        <is>
          <t>⚠ MANUALLY ENTER — BOY from prior-year Sch L Ln 20(d)</t>
        </is>
      </c>
    </row>
    <row r="35" ht="27.75" customHeight="1" s="143">
      <c r="A35" s="19" t="inlineStr">
        <is>
          <t>21</t>
        </is>
      </c>
      <c r="B35" s="35" t="inlineStr">
        <is>
          <t>Other liabilities (attach statement)</t>
        </is>
      </c>
      <c r="C35" s="35" t="n"/>
      <c r="D35" s="198" t="n"/>
      <c r="E35" s="35" t="n"/>
      <c r="F35" s="35">
        <f>'Working Trial Balance'!F44</f>
        <v/>
      </c>
      <c r="G35" s="35" t="n"/>
      <c r="H35" s="20" t="inlineStr">
        <is>
          <t>Deferred revenue, deferred rent, contingent liabilities. Desert Peak: none.</t>
        </is>
      </c>
    </row>
    <row r="36" ht="15" customHeight="1" s="143">
      <c r="A36" s="25" t="inlineStr">
        <is>
          <t>22a</t>
        </is>
      </c>
      <c r="B36" s="33" t="inlineStr">
        <is>
          <t>Capital stock</t>
        </is>
      </c>
      <c r="C36" s="33" t="n"/>
      <c r="D36" s="186" t="n"/>
      <c r="E36" s="33" t="n"/>
      <c r="F36" s="34">
        <f>' Balance Sheet'!B59</f>
        <v/>
      </c>
      <c r="G36" s="33" t="inlineStr">
        <is>
          <t>WTB r50</t>
        </is>
      </c>
      <c r="H36" s="50" t="inlineStr">
        <is>
          <t>⚠ MANUALLY ENTER — BOY from prior-year Sch L Ln 22a(d)</t>
        </is>
      </c>
    </row>
    <row r="37" ht="15" customHeight="1" s="143">
      <c r="A37" s="19" t="inlineStr">
        <is>
          <t>23</t>
        </is>
      </c>
      <c r="B37" s="35" t="inlineStr">
        <is>
          <t>Additional paid-in capital</t>
        </is>
      </c>
      <c r="C37" s="35" t="n"/>
      <c r="D37" s="186" t="n"/>
      <c r="E37" s="35" t="n"/>
      <c r="F37" s="37">
        <f>' Balance Sheet'!B60</f>
        <v/>
      </c>
      <c r="G37" s="35" t="inlineStr">
        <is>
          <t>WTB r51</t>
        </is>
      </c>
      <c r="H37" s="46" t="inlineStr">
        <is>
          <t>⚠ MANUALLY ENTER — BOY from prior-year Sch L Ln 23(d)</t>
        </is>
      </c>
    </row>
    <row r="38" ht="23.25" customHeight="1" s="143">
      <c r="A38" s="25" t="inlineStr">
        <is>
          <t>24</t>
        </is>
      </c>
      <c r="B38" s="33" t="inlineStr">
        <is>
          <t>Retained earnings</t>
        </is>
      </c>
      <c r="C38" s="33" t="n"/>
      <c r="D38" s="186" t="n"/>
      <c r="E38" s="33" t="n"/>
      <c r="F38" s="34">
        <f>' Balance Sheet'!B65-' Balance Sheet'!B59-' Balance Sheet'!B60</f>
        <v/>
      </c>
      <c r="G38" s="33" t="inlineStr">
        <is>
          <t>WTB r52-55 / M-2</t>
        </is>
      </c>
      <c r="H38" s="50" t="inlineStr">
        <is>
          <t>⚠ MANUALLY ENTER — BOY from prior-year Sch L Ln 24(d). CRITICAL: This is BOOK RE, not AAA.</t>
        </is>
      </c>
    </row>
    <row r="39" ht="27.75" customHeight="1" s="143">
      <c r="A39" s="19" t="inlineStr">
        <is>
          <t>25</t>
        </is>
      </c>
      <c r="B39" s="35" t="inlineStr">
        <is>
          <t>Adjustments to shareholders' equity (attach statement)</t>
        </is>
      </c>
      <c r="C39" s="35" t="n"/>
      <c r="D39" s="35" t="n"/>
      <c r="E39" s="35" t="n"/>
      <c r="F39" s="35" t="n"/>
      <c r="G39" s="35" t="n"/>
      <c r="H39" s="20" t="inlineStr">
        <is>
          <t>Unrealized gains/losses on AFS securities (OCI), foreign currency adjustments. Most S-corps = $0.</t>
        </is>
      </c>
    </row>
    <row r="40" ht="27.75" customHeight="1" s="143">
      <c r="A40" s="25" t="inlineStr">
        <is>
          <t>26</t>
        </is>
      </c>
      <c r="B40" s="33" t="inlineStr">
        <is>
          <t>Less cost of treasury stock</t>
        </is>
      </c>
      <c r="C40" s="33" t="n"/>
      <c r="D40" s="33" t="n"/>
      <c r="E40" s="33" t="n"/>
      <c r="F40" s="33" t="n"/>
      <c r="G40" s="33" t="n"/>
      <c r="H40" s="26" t="inlineStr">
        <is>
          <t>S-corps can only have one class of stock. Treasury stock is rare. Leave blank unless repurchased shares.</t>
        </is>
      </c>
    </row>
    <row r="41" ht="15" customHeight="1" s="143">
      <c r="A41" s="43" t="inlineStr">
        <is>
          <t>27</t>
        </is>
      </c>
      <c r="B41" s="42" t="inlineStr">
        <is>
          <t>TOTAL LIABILITIES &amp; SHAREHOLDERS' EQUITY</t>
        </is>
      </c>
      <c r="C41" s="42" t="n"/>
      <c r="D41" s="32">
        <f>SUM(D30:D38)</f>
        <v/>
      </c>
      <c r="E41" s="42" t="n"/>
      <c r="F41" s="32">
        <f>SUM(F30:F40)</f>
        <v/>
      </c>
      <c r="G41" s="42" t="inlineStr">
        <is>
          <t>WTB r58</t>
        </is>
      </c>
      <c r="H41" s="52" t="inlineStr">
        <is>
          <t>Must = Total Assets (Ln 15). If off, check each section.</t>
        </is>
      </c>
    </row>
    <row r="42" ht="15" customHeight="1" s="143"/>
    <row r="43" ht="15" customHeight="1" s="143">
      <c r="A43" s="170" t="inlineStr">
        <is>
          <t>TIE-OUT CHECKS</t>
        </is>
      </c>
    </row>
    <row r="44" ht="15" customHeight="1" s="143">
      <c r="B44" s="173" t="inlineStr">
        <is>
          <t>EOY Net Assets = WTB Total Assets</t>
        </is>
      </c>
      <c r="D44" s="10">
        <f>E27-'Working Trial Balance'!D35</f>
        <v/>
      </c>
      <c r="E44" s="173">
        <f>IF(D44=0,"✓ TIES","✗ OFF by "&amp;TEXT(D44,"#,##0"))</f>
        <v/>
      </c>
    </row>
    <row r="45" ht="15" customHeight="1" s="143">
      <c r="B45" s="173" t="inlineStr">
        <is>
          <t>EOY: Total Assets = Total L&amp;E (BS balances)</t>
        </is>
      </c>
      <c r="D45" s="10">
        <f>(E27-F27)-F41</f>
        <v/>
      </c>
      <c r="E45" s="173">
        <f>IF(D45=0,"✓ TIES","✗ OFF by "&amp;TEXT(D45,"#,##0"))</f>
        <v/>
      </c>
    </row>
    <row r="46" ht="15" customHeight="1" s="143">
      <c r="B46" s="173" t="inlineStr">
        <is>
          <t>BOY: Total Assets = Total L&amp;E (BS balances)</t>
        </is>
      </c>
      <c r="D46" s="10">
        <f>(C27-D27)-D41</f>
        <v/>
      </c>
      <c r="E46" s="173">
        <f>IF(D46=0,"✓ TIES","✗ OFF by "&amp;TEXT(D46,"#,##0"))</f>
        <v/>
      </c>
      <c r="F46" s="167" t="inlineStr">
        <is>
          <t>BOY values are hardcoded placeholders — replace with actual prior-year Sch L ending balances. Check will pass once real data is entered.</t>
        </is>
      </c>
    </row>
    <row r="47" ht="15" customHeight="1" s="143">
      <c r="B47" s="173" t="inlineStr">
        <is>
          <t>EOY Equity (Sch L) = PBC Balance Sheet Equity</t>
        </is>
      </c>
      <c r="D47" s="10">
        <f>(F36+F37+F38)-' Balance Sheet'!B65</f>
        <v/>
      </c>
      <c r="E47" s="173">
        <f>IF(D47=0,"✓ TIES","✗ OFF by "&amp;TEXT(D47,"#,##0"))</f>
        <v/>
      </c>
    </row>
    <row r="48" ht="15" customHeight="1" s="143">
      <c r="B48" s="173" t="inlineStr">
        <is>
          <t>EOY RE per Sch L = M-2 Book RE ending balance</t>
        </is>
      </c>
      <c r="D48" s="10">
        <f>F38-'Schedule M-2'!E42</f>
        <v/>
      </c>
      <c r="E48" s="173">
        <f>IF(D48=0,"✓ TIES","✗ OFF by "&amp;TEXT(D48,"#,##0"))</f>
        <v/>
      </c>
    </row>
    <row r="49" ht="15" customHeight="1" s="143">
      <c r="B49" s="173" t="inlineStr">
        <is>
          <t>EOY Total Liabilities = WTB Total Liabilities</t>
        </is>
      </c>
      <c r="D49" s="10">
        <f>F41-'Working Trial Balance'!F58</f>
        <v/>
      </c>
      <c r="E49" s="173">
        <f>IF(D49=0,"✓ TIES","✗ OFF by "&amp;TEXT(D49,"#,##0"))</f>
        <v/>
      </c>
    </row>
    <row r="50" ht="15" customHeight="1" s="143"/>
    <row r="51" ht="15" customHeight="1" s="143">
      <c r="A51" s="173" t="inlineStr">
        <is>
          <t>TEMPLATE NOTES:</t>
        </is>
      </c>
    </row>
    <row r="52" ht="15" customHeight="1" s="143">
      <c r="A52" s="172" t="inlineStr">
        <is>
          <t>• Sch L is reported on BOOK BASIS for most S-corps. If the corp reports on TAX BASIS, the depreciation and equity numbers will differ from PBC.</t>
        </is>
      </c>
    </row>
    <row r="53" ht="15" customHeight="1" s="143">
      <c r="A53" s="167" t="inlineStr">
        <is>
          <t>• BOY columns should equal EXACTLY what was reported on the prior-year Sch L ending columns. If you change anything, the IRS will notice the mismatch.</t>
        </is>
      </c>
    </row>
    <row r="54" ht="15" customHeight="1" s="143">
      <c r="A54" s="172" t="inlineStr">
        <is>
          <t>• Sch L lines use dual columns: (a)/(c) for gross amounts and (b)/(d) for contra/offset amounts (like accum depr, allowance for bad debts). Liabilities and equity use only (b)/(d).</t>
        </is>
      </c>
    </row>
    <row r="55" ht="15" customHeight="1" s="143">
      <c r="A55" s="266" t="inlineStr">
        <is>
          <t>• If total assets ≤ $250K at EOY, the IRS does not require Sch L (check Box G on page 1). Still recommended as a workpaper.</t>
        </is>
      </c>
    </row>
  </sheetData>
  <mergeCells count="12">
    <mergeCell ref="A4:H4"/>
    <mergeCell ref="A3:H3"/>
    <mergeCell ref="F46:H46"/>
    <mergeCell ref="A53:H53"/>
    <mergeCell ref="A55:H55"/>
    <mergeCell ref="A43:H43"/>
    <mergeCell ref="A54:H54"/>
    <mergeCell ref="A2:H2"/>
    <mergeCell ref="A51:H51"/>
    <mergeCell ref="A52:H52"/>
    <mergeCell ref="B7:H7"/>
    <mergeCell ref="A1:H1"/>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G58"/>
  <sheetViews>
    <sheetView zoomScaleNormal="100" workbookViewId="0">
      <pane ySplit="6" topLeftCell="A7" activePane="bottomLeft" state="frozen"/>
      <selection pane="bottomLeft" activeCell="A1" sqref="A1:G1"/>
    </sheetView>
  </sheetViews>
  <sheetFormatPr baseColWidth="8" defaultColWidth="8.7109375" defaultRowHeight="15"/>
  <cols>
    <col width="10" customWidth="1" style="143" min="1" max="1"/>
    <col width="48" customWidth="1" style="143" min="2" max="2"/>
    <col width="22" customWidth="1" style="143" min="3" max="3"/>
    <col width="18" customWidth="1" style="143" min="4" max="5"/>
    <col width="22" customWidth="1" style="143" min="6" max="6"/>
    <col width="55" customWidth="1" style="143" min="7" max="7"/>
  </cols>
  <sheetData>
    <row r="1" ht="17.25" customHeight="1" s="143">
      <c r="A1" s="166" t="inlineStr">
        <is>
          <t>[ENTITY NAME] — Form 7203 — S Corporation Shareholder Stock and Debt Basis Limitations</t>
        </is>
      </c>
    </row>
    <row r="2" ht="15" customHeight="1" s="143">
      <c r="A2" s="168" t="inlineStr">
        <is>
          <t>Tax Year Ended [MM/DD/YYYY]</t>
        </is>
      </c>
    </row>
    <row r="3" ht="15" customHeight="1" s="143">
      <c r="A3" s="149" t="inlineStr">
        <is>
          <t>Shareholder: [NAME]</t>
        </is>
      </c>
    </row>
    <row r="4" ht="15" customHeight="1" s="143">
      <c r="A4" s="145" t="inlineStr">
        <is>
          <t>Filed with shareholder's Form 1040. Required if SH claims loss/deduction, receives distribution, disposes of stock, or receives loan repayment.</t>
        </is>
      </c>
    </row>
    <row r="5" ht="15" customHeight="1" s="143"/>
    <row r="6" ht="30" customHeight="1" s="143">
      <c r="A6" s="18" t="inlineStr">
        <is>
          <t>Line</t>
        </is>
      </c>
      <c r="B6" s="18" t="inlineStr">
        <is>
          <t>Description</t>
        </is>
      </c>
      <c r="C6" s="18" t="inlineStr">
        <is>
          <t>K-1 Box / Source</t>
        </is>
      </c>
      <c r="D6" s="18" t="inlineStr">
        <is>
          <t>Amount</t>
        </is>
      </c>
      <c r="E6" s="18" t="inlineStr">
        <is>
          <t>Running Basis</t>
        </is>
      </c>
      <c r="F6" s="18" t="inlineStr">
        <is>
          <t>Ties To</t>
        </is>
      </c>
      <c r="G6" s="18" t="inlineStr">
        <is>
          <t>Notes</t>
        </is>
      </c>
    </row>
    <row r="7" ht="15" customHeight="1" s="143">
      <c r="A7" s="176" t="n"/>
      <c r="B7" s="176" t="inlineStr">
        <is>
          <t>PART I — SHAREHOLDER STOCK BASIS</t>
        </is>
      </c>
      <c r="C7" s="176" t="n"/>
      <c r="D7" s="176" t="n"/>
      <c r="E7" s="176" t="n"/>
      <c r="F7" s="176" t="n"/>
      <c r="G7" s="176" t="n"/>
    </row>
    <row r="8" ht="23.25" customHeight="1" s="143">
      <c r="A8" s="47" t="inlineStr">
        <is>
          <t>1</t>
        </is>
      </c>
      <c r="B8" s="8" t="inlineStr">
        <is>
          <t>Stock basis at beginning of corporation's tax year</t>
        </is>
      </c>
      <c r="C8" s="48" t="inlineStr">
        <is>
          <t>Prior-year 7203 Ln 27</t>
        </is>
      </c>
      <c r="D8" s="45" t="n"/>
      <c r="E8" s="49" t="n"/>
      <c r="F8" s="8" t="n"/>
      <c r="G8" s="50" t="inlineStr">
        <is>
          <t>⚠ MANUALLY ENTER — Beginning stock basis from prior-year Form 7203 Line 27 (or initial cost basis if first year). This is the MOST CRITICAL input.</t>
        </is>
      </c>
    </row>
    <row r="9" ht="23.25" customHeight="1" s="143">
      <c r="A9" s="19" t="inlineStr">
        <is>
          <t>2</t>
        </is>
      </c>
      <c r="B9" s="35" t="inlineStr">
        <is>
          <t>Stock purchased or additional capital contributions during year</t>
        </is>
      </c>
      <c r="C9" s="35" t="inlineStr">
        <is>
          <t>Stock certs / PBC</t>
        </is>
      </c>
      <c r="D9" s="45" t="n">
        <v>0</v>
      </c>
      <c r="E9" s="35" t="n"/>
      <c r="F9" s="35" t="n"/>
      <c r="G9" s="46" t="inlineStr">
        <is>
          <t>⚠ MANUALLY ENTER — Only if new capital contributed this year. Usually $0.</t>
        </is>
      </c>
    </row>
    <row r="10" ht="27.75" customHeight="1" s="143">
      <c r="A10" s="25" t="inlineStr">
        <is>
          <t>3</t>
        </is>
      </c>
      <c r="B10" s="33" t="inlineStr">
        <is>
          <t>Basis from restored debt repayment (from Part II, if applicable)</t>
        </is>
      </c>
      <c r="C10" s="33" t="inlineStr">
        <is>
          <t>Part II below</t>
        </is>
      </c>
      <c r="D10" s="34" t="n">
        <v>0</v>
      </c>
      <c r="E10" s="33" t="n"/>
      <c r="F10" s="33" t="n"/>
      <c r="G10" s="26" t="inlineStr">
        <is>
          <t>Only if SH had reduced debt basis in prior year AND corp repaid some debt this year. Rare.</t>
        </is>
      </c>
    </row>
    <row r="11" ht="15" customHeight="1" s="143">
      <c r="A11" s="176" t="n"/>
      <c r="B11" s="176" t="inlineStr">
        <is>
          <t>INCREASES TO STOCK BASIS</t>
        </is>
      </c>
      <c r="C11" s="176" t="n"/>
      <c r="D11" s="176" t="n"/>
      <c r="E11" s="176" t="n"/>
      <c r="F11" s="176" t="n"/>
      <c r="G11" s="176" t="n"/>
    </row>
    <row r="12" ht="27.75" customHeight="1" s="143">
      <c r="A12" s="25" t="inlineStr">
        <is>
          <t>4</t>
        </is>
      </c>
      <c r="B12" s="33" t="inlineStr">
        <is>
          <t>Ordinary business income (K-1 Box 1)</t>
        </is>
      </c>
      <c r="C12" s="26" t="inlineStr">
        <is>
          <t>K-1 Box 1 / Sch K Ln 1</t>
        </is>
      </c>
      <c r="D12" s="139">
        <f>'Schedule K'!F11</f>
        <v/>
      </c>
      <c r="E12" s="33" t="n"/>
      <c r="F12" s="33" t="inlineStr">
        <is>
          <t>Sch K Ln 1</t>
        </is>
      </c>
      <c r="G12" s="26" t="inlineStr">
        <is>
          <t>Pro rata share of OBI. Increases basis even though SH may not receive cash.</t>
        </is>
      </c>
    </row>
    <row r="13" ht="27.75" customHeight="1" s="143">
      <c r="A13" s="19" t="inlineStr">
        <is>
          <t>5</t>
        </is>
      </c>
      <c r="B13" s="35" t="inlineStr">
        <is>
          <t>Net rental income (K-1 Box 2/3)</t>
        </is>
      </c>
      <c r="C13" s="20" t="inlineStr">
        <is>
          <t>K-1 Box 3 / Sch K Ln 3c</t>
        </is>
      </c>
      <c r="D13" s="37" t="n">
        <v>0</v>
      </c>
      <c r="E13" s="35" t="n"/>
      <c r="F13" s="35" t="inlineStr">
        <is>
          <t>Sch K Ln 3c</t>
        </is>
      </c>
      <c r="G13" s="20" t="inlineStr">
        <is>
          <t>Net rental income (if positive). If negative, goes to loss section below.</t>
        </is>
      </c>
    </row>
    <row r="14" ht="27.75" customHeight="1" s="143">
      <c r="A14" s="25" t="inlineStr">
        <is>
          <t>6</t>
        </is>
      </c>
      <c r="B14" s="33" t="inlineStr">
        <is>
          <t>Interest + dividends + capital gains + §1231 gains (K-1 Boxes 4-9)</t>
        </is>
      </c>
      <c r="C14" s="26" t="inlineStr">
        <is>
          <t>K-1 Boxes 4,5a,8a,9</t>
        </is>
      </c>
      <c r="D14" s="139">
        <f>'Schedule K'!F16+'Schedule K'!F17+'Schedule K'!F21+'Schedule K'!F24</f>
        <v/>
      </c>
      <c r="E14" s="33" t="n"/>
      <c r="F14" s="33" t="inlineStr">
        <is>
          <t>Sch K Ln 4+5a+8a+9</t>
        </is>
      </c>
      <c r="G14" s="26" t="inlineStr">
        <is>
          <t>All separately stated income items: interest, dividends, LTCG, §1231. Only include positive amounts here.</t>
        </is>
      </c>
    </row>
    <row r="15" ht="27.75" customHeight="1" s="143">
      <c r="A15" s="19" t="inlineStr">
        <is>
          <t>7</t>
        </is>
      </c>
      <c r="B15" s="35" t="inlineStr">
        <is>
          <t>Tax-exempt income (K-1 Box 16A/16B)</t>
        </is>
      </c>
      <c r="C15" s="20" t="inlineStr">
        <is>
          <t>K-1 Box 16A / Sch K Ln 16a</t>
        </is>
      </c>
      <c r="D15" s="37" t="n">
        <v>0</v>
      </c>
      <c r="E15" s="35" t="n"/>
      <c r="F15" s="35" t="inlineStr">
        <is>
          <t>Sch K Ln 16a</t>
        </is>
      </c>
      <c r="G15" s="20" t="inlineStr">
        <is>
          <t>Muni bond interest. INCREASES basis even though not taxable. This is why it goes to OAA, not AAA.</t>
        </is>
      </c>
    </row>
    <row r="16" ht="15" customHeight="1" s="143">
      <c r="A16" s="25" t="inlineStr">
        <is>
          <t>8</t>
        </is>
      </c>
      <c r="B16" s="33" t="inlineStr">
        <is>
          <t>Excess depletion (oil &amp; gas)</t>
        </is>
      </c>
      <c r="C16" s="33" t="inlineStr">
        <is>
          <t>K-1 Box 15D</t>
        </is>
      </c>
      <c r="D16" s="34" t="n">
        <v>0</v>
      </c>
      <c r="E16" s="33" t="n"/>
      <c r="F16" s="33" t="n"/>
      <c r="G16" s="26" t="inlineStr">
        <is>
          <t>Only for oil/gas. Most S-corps = $0.</t>
        </is>
      </c>
    </row>
    <row r="17" ht="15" customHeight="1" s="143">
      <c r="A17" s="43" t="inlineStr">
        <is>
          <t>9</t>
        </is>
      </c>
      <c r="B17" s="42" t="inlineStr">
        <is>
          <t>TOTAL INCREASES (Lines 4 through 8)</t>
        </is>
      </c>
      <c r="C17" s="42" t="n"/>
      <c r="D17" s="12">
        <f>SUM(D12:D16)</f>
        <v/>
      </c>
      <c r="E17" s="42" t="n"/>
      <c r="F17" s="42" t="n"/>
      <c r="G17" s="52" t="inlineStr">
        <is>
          <t>Sum of all items that increase SH stock basis.</t>
        </is>
      </c>
    </row>
    <row r="18" ht="27.75" customHeight="1" s="143">
      <c r="A18" s="47" t="inlineStr">
        <is>
          <t>10</t>
        </is>
      </c>
      <c r="B18" s="8" t="inlineStr">
        <is>
          <t>Stock basis before distributions &amp; losses (Ln 1 + 2 + 3 + 9)</t>
        </is>
      </c>
      <c r="C18" s="8" t="n"/>
      <c r="D18" s="49">
        <f>D8+D9+D10+D17</f>
        <v/>
      </c>
      <c r="E18" s="49">
        <f>D18</f>
        <v/>
      </c>
      <c r="F18" s="8" t="n"/>
      <c r="G18" s="48" t="inlineStr">
        <is>
          <t>KEY CHECKPOINT: This is your basis before subtracting distributions. Distributions cannot reduce basis below zero.</t>
        </is>
      </c>
    </row>
    <row r="19" ht="15" customHeight="1" s="143">
      <c r="A19" s="176" t="n"/>
      <c r="B19" s="176" t="inlineStr">
        <is>
          <t>DISTRIBUTIONS &amp; NON-DIVIDEND DISTRIBUTIONS</t>
        </is>
      </c>
      <c r="C19" s="176" t="n"/>
      <c r="D19" s="176" t="n"/>
      <c r="E19" s="176" t="n"/>
      <c r="F19" s="176" t="n"/>
      <c r="G19" s="176" t="n"/>
    </row>
    <row r="20" ht="27.75" customHeight="1" s="143">
      <c r="A20" s="25" t="inlineStr">
        <is>
          <t>11</t>
        </is>
      </c>
      <c r="B20" s="33" t="inlineStr">
        <is>
          <t>Distributions (excluding dividend distributions) (K-1 Box 16D)</t>
        </is>
      </c>
      <c r="C20" s="26" t="inlineStr">
        <is>
          <t>K-1 Box 16D / Sch K Ln 16d</t>
        </is>
      </c>
      <c r="D20" s="139">
        <f>'Schedule K'!F59</f>
        <v/>
      </c>
      <c r="E20" s="33" t="n"/>
      <c r="F20" s="33" t="inlineStr">
        <is>
          <t>Sch K Ln 16d / M-2</t>
        </is>
      </c>
      <c r="G20" s="26" t="inlineStr">
        <is>
          <t>This SH's share of total distributions. Cannot reduce stock basis below zero — excess = capital gain.</t>
        </is>
      </c>
    </row>
    <row r="21" ht="27.75" customHeight="1" s="143">
      <c r="A21" s="43" t="inlineStr">
        <is>
          <t>12</t>
        </is>
      </c>
      <c r="B21" s="42" t="inlineStr">
        <is>
          <t>Stock basis after distributions (Ln 10 − Ln 11, but not below zero)</t>
        </is>
      </c>
      <c r="C21" s="42" t="n"/>
      <c r="D21" s="12">
        <f>MAX(D18-D20,0)</f>
        <v/>
      </c>
      <c r="E21" s="12">
        <f>D21</f>
        <v/>
      </c>
      <c r="F21" s="42" t="n"/>
      <c r="G21" s="52" t="inlineStr">
        <is>
          <t>If distributions &gt; Ln 10, excess is capital gain to SH (report on Sch D). Basis cannot go negative from distributions.</t>
        </is>
      </c>
    </row>
    <row r="22" ht="27.75" customHeight="1" s="143">
      <c r="A22" s="25" t="n"/>
      <c r="B22" s="33" t="inlineStr">
        <is>
          <t xml:space="preserve">   ► Distribution excess (capital gain to SH)</t>
        </is>
      </c>
      <c r="C22" s="33" t="n"/>
      <c r="D22" s="34">
        <f>MAX(D20-D18,0)</f>
        <v/>
      </c>
      <c r="E22" s="33">
        <f>IF(D22&gt;0,"⚠ CG to SH","OK - within basis")</f>
        <v/>
      </c>
      <c r="F22" s="33" t="n"/>
      <c r="G22" s="26" t="inlineStr">
        <is>
          <t>If &gt; 0, shareholder must report this as capital gain on personal Sch D. Basis drops to $0.</t>
        </is>
      </c>
    </row>
    <row r="23" ht="15" customHeight="1" s="143">
      <c r="A23" s="176" t="n"/>
      <c r="B23" s="176" t="inlineStr">
        <is>
          <t>DECREASES TO STOCK BASIS (order matters per §1367)</t>
        </is>
      </c>
      <c r="C23" s="176" t="n"/>
      <c r="D23" s="176" t="n"/>
      <c r="E23" s="176" t="n"/>
      <c r="F23" s="176" t="n"/>
      <c r="G23" s="176" t="n"/>
    </row>
    <row r="24" ht="27.75" customHeight="1" s="143">
      <c r="A24" s="25" t="inlineStr">
        <is>
          <t>13</t>
        </is>
      </c>
      <c r="B24" s="33" t="inlineStr">
        <is>
          <t>Nondeductible, noncapital expenses (K-1 Box 16C)</t>
        </is>
      </c>
      <c r="C24" s="26" t="inlineStr">
        <is>
          <t>K-1 Box 16C / Sch K Ln 16c</t>
        </is>
      </c>
      <c r="D24" s="139">
        <f>'Schedule K'!F58</f>
        <v/>
      </c>
      <c r="E24" s="33" t="n"/>
      <c r="F24" s="33" t="inlineStr">
        <is>
          <t>Sch K Ln 16c</t>
        </is>
      </c>
      <c r="G24" s="26" t="inlineStr">
        <is>
          <t>Meals 50%, entertainment, political, penalties, life ins, club dues, &gt;2% SH health. Reduces basis but NOT deductible.</t>
        </is>
      </c>
    </row>
    <row r="25" ht="27.75" customHeight="1" s="143">
      <c r="A25" s="19" t="inlineStr">
        <is>
          <t>14</t>
        </is>
      </c>
      <c r="B25" s="35" t="inlineStr">
        <is>
          <t>Deductions — §179 expense (K-1 Box 11)</t>
        </is>
      </c>
      <c r="C25" s="20" t="inlineStr">
        <is>
          <t>K-1 Box 11 / Sch K Ln 11</t>
        </is>
      </c>
      <c r="D25" s="37" t="n">
        <v>0</v>
      </c>
      <c r="E25" s="35" t="n"/>
      <c r="F25" s="35" t="inlineStr">
        <is>
          <t>Sch K Ln 11</t>
        </is>
      </c>
      <c r="G25" s="20" t="inlineStr">
        <is>
          <t>§179 expensing. Limited by SH basis AND SH business income. Already included in OBI for AAA but separately stated on K.</t>
        </is>
      </c>
    </row>
    <row r="26" ht="27.75" customHeight="1" s="143">
      <c r="A26" s="25" t="inlineStr">
        <is>
          <t>15</t>
        </is>
      </c>
      <c r="B26" s="33" t="inlineStr">
        <is>
          <t>Deductions — Charitable contributions (K-1 Box 12A)</t>
        </is>
      </c>
      <c r="C26" s="26" t="inlineStr">
        <is>
          <t>K-1 Box 12A / Sch K Ln 12a</t>
        </is>
      </c>
      <c r="D26" s="139">
        <f>'Schedule K'!F28</f>
        <v/>
      </c>
      <c r="E26" s="33" t="n"/>
      <c r="F26" s="33" t="inlineStr">
        <is>
          <t>Sch K Ln 12a</t>
        </is>
      </c>
      <c r="G26" s="26" t="inlineStr">
        <is>
          <t>Separately stated. SH deducts on personal Sch A. Still reduces stock basis regardless of SH AGI limits.</t>
        </is>
      </c>
    </row>
    <row r="27" ht="41.25" customHeight="1" s="143">
      <c r="A27" s="19" t="inlineStr">
        <is>
          <t>16</t>
        </is>
      </c>
      <c r="B27" s="35" t="inlineStr">
        <is>
          <t>Other deductions, losses, and items that decrease basis</t>
        </is>
      </c>
      <c r="C27" s="35" t="inlineStr">
        <is>
          <t>K-1 various</t>
        </is>
      </c>
      <c r="D27" s="37" t="n">
        <v>0</v>
      </c>
      <c r="E27" s="35" t="n"/>
      <c r="F27" s="35" t="n"/>
      <c r="G27" s="20" t="inlineStr">
        <is>
          <t>Investment interest expense (Box 12H), net OBL if negative (Box 1), rental losses (Box 2/3), STCL (Box 7), other. Include any negative K-1 items here.</t>
        </is>
      </c>
    </row>
    <row r="28" ht="27.75" customHeight="1" s="143">
      <c r="A28" s="47" t="inlineStr">
        <is>
          <t>17</t>
        </is>
      </c>
      <c r="B28" s="8" t="inlineStr">
        <is>
          <t>TOTAL DECREASES (Lines 13 through 16)</t>
        </is>
      </c>
      <c r="C28" s="8" t="n"/>
      <c r="D28" s="49">
        <f>SUM(D24:D27)</f>
        <v/>
      </c>
      <c r="E28" s="8" t="n"/>
      <c r="F28" s="8" t="n"/>
      <c r="G28" s="48" t="inlineStr">
        <is>
          <t>Total items that reduce stock basis. If this exceeds Ln 12, see Part III for loss limitations.</t>
        </is>
      </c>
    </row>
    <row r="29" ht="27.75" customHeight="1" s="143">
      <c r="A29" s="43" t="inlineStr">
        <is>
          <t>18</t>
        </is>
      </c>
      <c r="B29" s="42" t="inlineStr">
        <is>
          <t>Allowable decrease (lesser of Ln 17 or Ln 12)</t>
        </is>
      </c>
      <c r="C29" s="42" t="n"/>
      <c r="D29" s="12">
        <f>MIN(D28,D21)</f>
        <v/>
      </c>
      <c r="E29" s="42" t="n"/>
      <c r="F29" s="42" t="n"/>
      <c r="G29" s="52" t="inlineStr">
        <is>
          <t>Cannot reduce stock basis below zero. Excess losses → carryforward (Part III) or to debt basis (Part II).</t>
        </is>
      </c>
    </row>
    <row r="30" ht="27.75" customHeight="1" s="143">
      <c r="A30" s="25" t="inlineStr">
        <is>
          <t>19</t>
        </is>
      </c>
      <c r="B30" s="33" t="inlineStr">
        <is>
          <t>Suspended losses (Ln 17 − Ln 18, carried forward)</t>
        </is>
      </c>
      <c r="C30" s="33" t="n"/>
      <c r="D30" s="34">
        <f>D28-D29</f>
        <v/>
      </c>
      <c r="E30" s="33">
        <f>IF(D30&gt;0,"⚠ CARRYFORWARD","OK - all deducted")</f>
        <v/>
      </c>
      <c r="F30" s="33" t="n"/>
      <c r="G30" s="26" t="inlineStr">
        <is>
          <t>If &gt; 0, these losses carry forward indefinitely until SH has sufficient basis. Track on next year's 7203.</t>
        </is>
      </c>
    </row>
    <row r="31" ht="41.25" customHeight="1" s="143">
      <c r="A31" s="47" t="inlineStr">
        <is>
          <t>20</t>
        </is>
      </c>
      <c r="B31" s="8" t="inlineStr">
        <is>
          <t>STOCK BASIS AT END OF YEAR (Ln 12 − Ln 18)</t>
        </is>
      </c>
      <c r="C31" s="8" t="n"/>
      <c r="D31" s="49">
        <f>D21-D29</f>
        <v/>
      </c>
      <c r="E31" s="49">
        <f>D31</f>
        <v/>
      </c>
      <c r="F31" s="8" t="n"/>
      <c r="G31" s="48" t="inlineStr">
        <is>
          <t>THIS IS THE ENDING STOCK BASIS. Carries to next year's Ln 1. Should be ≥ $0. If $0, no further losses allowed against stock basis.</t>
        </is>
      </c>
    </row>
    <row r="32" ht="15" customHeight="1" s="143"/>
    <row r="33" ht="15" customHeight="1" s="143">
      <c r="A33" s="176" t="n"/>
      <c r="B33" s="176" t="inlineStr">
        <is>
          <t>PART II — SHAREHOLDER DEBT BASIS</t>
        </is>
      </c>
      <c r="C33" s="176" t="n"/>
      <c r="D33" s="176" t="n"/>
      <c r="E33" s="176" t="n"/>
      <c r="F33" s="176" t="n"/>
      <c r="G33" s="176" t="n"/>
    </row>
    <row r="34" ht="30" customHeight="1" s="143">
      <c r="B34" s="167" t="inlineStr">
        <is>
          <t>Debt basis = loans FROM the shareholder TO the corporation (not bank debt, not corp loans to SH). Only the SH who made the loan gets debt basis.</t>
        </is>
      </c>
    </row>
    <row r="35" ht="34.5" customHeight="1" s="143">
      <c r="A35" s="25" t="inlineStr">
        <is>
          <t>21</t>
        </is>
      </c>
      <c r="B35" s="33" t="inlineStr">
        <is>
          <t>Shareholder debt basis at beginning of year</t>
        </is>
      </c>
      <c r="C35" s="33" t="inlineStr">
        <is>
          <t>Prior-year 7203 Ln 27</t>
        </is>
      </c>
      <c r="D35" s="45" t="n"/>
      <c r="E35" s="33" t="n"/>
      <c r="F35" s="33" t="n"/>
      <c r="G35" s="50" t="inlineStr">
        <is>
          <t>⚠ MANUALLY ENTER — Debt basis from prior-year 7203. SH loan to corp = $25,000 per Sch L Ln 19. Debt basis may differ from loan balance if previously reduced.</t>
        </is>
      </c>
    </row>
    <row r="36" ht="23.25" customHeight="1" s="143">
      <c r="A36" s="19" t="inlineStr">
        <is>
          <t>22</t>
        </is>
      </c>
      <c r="B36" s="35" t="inlineStr">
        <is>
          <t>Additional loans from SH to corp during year</t>
        </is>
      </c>
      <c r="C36" s="35" t="inlineStr">
        <is>
          <t>Loan docs / PBC</t>
        </is>
      </c>
      <c r="D36" s="45" t="n">
        <v>0</v>
      </c>
      <c r="E36" s="35" t="n"/>
      <c r="F36" s="35" t="n"/>
      <c r="G36" s="46" t="inlineStr">
        <is>
          <t>⚠ MANUALLY ENTER — New loans from SH to corp this year. Verify with loan documents.</t>
        </is>
      </c>
    </row>
    <row r="37" ht="27.75" customHeight="1" s="143">
      <c r="A37" s="47" t="inlineStr">
        <is>
          <t>23</t>
        </is>
      </c>
      <c r="B37" s="8" t="inlineStr">
        <is>
          <t>Debt basis before repayment and losses (Ln 21 + 22)</t>
        </is>
      </c>
      <c r="C37" s="8" t="n"/>
      <c r="D37" s="49">
        <f>D35+D36</f>
        <v/>
      </c>
      <c r="E37" s="8" t="n"/>
      <c r="F37" s="8" t="n"/>
      <c r="G37" s="48" t="inlineStr">
        <is>
          <t>Available debt basis before any loan repayments or loss allocations.</t>
        </is>
      </c>
    </row>
    <row r="38" ht="27.75" customHeight="1" s="143">
      <c r="A38" s="19" t="inlineStr">
        <is>
          <t>24</t>
        </is>
      </c>
      <c r="B38" s="35" t="inlineStr">
        <is>
          <t>Losses that exceeded stock basis, applied to debt basis</t>
        </is>
      </c>
      <c r="C38" s="35" t="n"/>
      <c r="D38" s="37">
        <f>MIN(D30,D37)</f>
        <v/>
      </c>
      <c r="E38" s="35" t="n"/>
      <c r="F38" s="35" t="n"/>
      <c r="G38" s="20" t="inlineStr">
        <is>
          <t>If stock basis hit $0 and there are excess losses, they reduce debt basis (up to debt basis amount). §1366(d)(1)(A).</t>
        </is>
      </c>
    </row>
    <row r="39" ht="23.25" customHeight="1" s="143">
      <c r="A39" s="25" t="inlineStr">
        <is>
          <t>25</t>
        </is>
      </c>
      <c r="B39" s="33" t="inlineStr">
        <is>
          <t>Loan repayments from corporation to shareholder</t>
        </is>
      </c>
      <c r="C39" s="26" t="inlineStr">
        <is>
          <t>K-1 Box 16E / Loan docs</t>
        </is>
      </c>
      <c r="D39" s="45" t="n">
        <v>0</v>
      </c>
      <c r="E39" s="33" t="n"/>
      <c r="F39" s="33" t="n"/>
      <c r="G39" s="50" t="inlineStr">
        <is>
          <t>⚠ MANUALLY ENTER — Loan repayments from corp to SH this year. Check bank records / loan amort schedule.</t>
        </is>
      </c>
    </row>
    <row r="40" ht="27.75" customHeight="1" s="143">
      <c r="A40" s="43" t="inlineStr">
        <is>
          <t>26</t>
        </is>
      </c>
      <c r="B40" s="42" t="inlineStr">
        <is>
          <t>DEBT BASIS AT END OF YEAR (Ln 23 − 24 − 25)</t>
        </is>
      </c>
      <c r="C40" s="42" t="n"/>
      <c r="D40" s="12">
        <f>MAX(D37-D38-D39,0)</f>
        <v/>
      </c>
      <c r="E40" s="12">
        <f>D40</f>
        <v/>
      </c>
      <c r="F40" s="42" t="n"/>
      <c r="G40" s="52" t="inlineStr">
        <is>
          <t>Ending debt basis. If reduced below face value of loan, a future repayment triggers gain recognition.</t>
        </is>
      </c>
    </row>
    <row r="41" ht="27.75" customHeight="1" s="143">
      <c r="A41" s="33" t="n"/>
      <c r="B41" s="33" t="inlineStr">
        <is>
          <t xml:space="preserve">   ► Gain on loan repayment (if debt basis &lt; repayment)</t>
        </is>
      </c>
      <c r="C41" s="33" t="n"/>
      <c r="D41" s="34">
        <f>MAX(D39-D37+D38,0)</f>
        <v/>
      </c>
      <c r="E41" s="33">
        <f>IF(D41&gt;0,"⚠ TAXABLE GAIN","OK - no gain")</f>
        <v/>
      </c>
      <c r="F41" s="33" t="n"/>
      <c r="G41" s="26" t="inlineStr">
        <is>
          <t>If &gt; 0, SH has ordinary income on loan repayment. Report on Form 1040. See §1367(b)(2).</t>
        </is>
      </c>
    </row>
    <row r="42" ht="15" customHeight="1" s="143"/>
    <row r="43" ht="15" customHeight="1" s="143">
      <c r="A43" s="176" t="n"/>
      <c r="B43" s="176" t="inlineStr">
        <is>
          <t>TOTAL BASIS SUMMARY</t>
        </is>
      </c>
      <c r="C43" s="176" t="n"/>
      <c r="D43" s="176" t="n"/>
      <c r="E43" s="176" t="n"/>
      <c r="F43" s="176" t="n"/>
      <c r="G43" s="176" t="n"/>
    </row>
    <row r="44" ht="41.25" customHeight="1" s="143">
      <c r="A44" s="54" t="inlineStr">
        <is>
          <t>27</t>
        </is>
      </c>
      <c r="B44" s="55" t="inlineStr">
        <is>
          <t>TOTAL SHAREHOLDER BASIS (Stock Ln 20 + Debt Ln 26)</t>
        </is>
      </c>
      <c r="C44" s="55" t="n"/>
      <c r="D44" s="56">
        <f>D31+D40</f>
        <v/>
      </c>
      <c r="E44" s="57">
        <f>D44</f>
        <v/>
      </c>
      <c r="F44" s="55" t="n"/>
      <c r="G44" s="58" t="inlineStr">
        <is>
          <t>TOTAL BASIS = stock + debt. This limits total deductible losses AND is used for gain/loss on stock sale. Carries forward to next year 7203 Line 1.</t>
        </is>
      </c>
    </row>
    <row r="45" ht="15" customHeight="1" s="143"/>
    <row r="46" ht="15" customHeight="1" s="143">
      <c r="A46" s="170" t="inlineStr">
        <is>
          <t>TIE-OUT CHECKS</t>
        </is>
      </c>
    </row>
    <row r="47" ht="15" customHeight="1" s="143">
      <c r="B47" s="173" t="inlineStr">
        <is>
          <t>Stock basis ≥ $0 (cannot be negative)</t>
        </is>
      </c>
      <c r="D47" s="10">
        <f>D31</f>
        <v/>
      </c>
      <c r="E47" s="173">
        <f>IF(D47&gt;=0,"✓ OK","✗ NEGATIVE BASIS ERROR")</f>
        <v/>
      </c>
    </row>
    <row r="48" ht="15" customHeight="1" s="143">
      <c r="B48" s="173" t="inlineStr">
        <is>
          <t>Debt basis ≥ $0 (cannot be negative)</t>
        </is>
      </c>
      <c r="D48" s="10">
        <f>D40</f>
        <v/>
      </c>
      <c r="E48" s="173">
        <f>IF(D48&gt;=0,"✓ OK","✗ NEGATIVE BASIS ERROR")</f>
        <v/>
      </c>
    </row>
    <row r="49" ht="15" customHeight="1" s="143">
      <c r="B49" s="173" t="inlineStr">
        <is>
          <t>Distributions within basis? (Ln 11 ≤ Ln 10)</t>
        </is>
      </c>
      <c r="D49" s="10">
        <f>D20-D18</f>
        <v/>
      </c>
      <c r="E49" s="173">
        <f>IF(D49&lt;=0,"✓ OK - within basis","⚠ EXCESS = cap gain $"&amp;TEXT(D49,"#,##0"))</f>
        <v/>
      </c>
    </row>
    <row r="50" ht="15" customHeight="1" s="143">
      <c r="B50" s="173" t="inlineStr">
        <is>
          <t>Distributions = Sch K allocation (100%)</t>
        </is>
      </c>
      <c r="D50" s="10">
        <f>D20-'Schedule K'!F59</f>
        <v/>
      </c>
      <c r="E50" s="173">
        <f>IF(D50=0,"✓ TIES","✗ OFF")</f>
        <v/>
      </c>
    </row>
    <row r="51" ht="15" customHeight="1" s="143">
      <c r="B51" s="173" t="inlineStr">
        <is>
          <t>Nondeductible expenses = Sch K allocation (100%)</t>
        </is>
      </c>
      <c r="D51" s="10">
        <f>D24-'Schedule K'!F58</f>
        <v/>
      </c>
      <c r="E51" s="173">
        <f>IF(D51=0,"✓ TIES","✗ OFF")</f>
        <v/>
      </c>
    </row>
    <row r="52" ht="15" customHeight="1" s="143">
      <c r="B52" s="173" t="inlineStr">
        <is>
          <t>Debt basis BOY ≤ Sch L SH loan BOY</t>
        </is>
      </c>
      <c r="D52" s="10">
        <f>D35-'Schedule L'!D33</f>
        <v/>
      </c>
      <c r="E52" s="173">
        <f>IF(D52&lt;=0,"✓ OK","⚠ Debt basis &gt; loan face value")</f>
        <v/>
      </c>
    </row>
    <row r="53" ht="15" customHeight="1" s="143"/>
    <row r="54" ht="15" customHeight="1" s="143">
      <c r="A54" s="173" t="inlineStr">
        <is>
          <t>TEMPLATE NOTES:</t>
        </is>
      </c>
    </row>
    <row r="55" ht="27.75" customHeight="1" s="143">
      <c r="A55" s="167" t="inlineStr">
        <is>
          <t>• Beginning basis (Ln 1) MUST match prior-year 7203 Line 20 (stock) exactly. IRS compares year-over-year. If first year of S election, use initial stock cost basis.</t>
        </is>
      </c>
    </row>
    <row r="56" ht="27.75" customHeight="1" s="143">
      <c r="A56" s="172" t="inlineStr">
        <is>
          <t>• ORDER OF BASIS ADJUSTMENTS MATTERS (§1367): 1st: Increase for income items → 2nd: Decrease for distributions → 3rd: Decrease for nondeductible → 4th: Decrease for losses/deductions.</t>
        </is>
      </c>
    </row>
    <row r="57" ht="27.75" customHeight="1" s="143">
      <c r="A57" s="172" t="inlineStr">
        <is>
          <t>• Suspended losses from Line 19 carry forward indefinitely and are allowed when the shareholder gets additional basis (new contributions, future income allocations, new loans to corp).</t>
        </is>
      </c>
    </row>
    <row r="58" ht="27.75" customHeight="1" s="143">
      <c r="A58" s="172" t="inlineStr">
        <is>
          <t>• At-risk rules (§465) and passive activity rules (§469) apply AFTER basis limitations. A loss that passes basis may still be limited by at-risk or passive activity rules at the SH level.</t>
        </is>
      </c>
    </row>
  </sheetData>
  <mergeCells count="11">
    <mergeCell ref="B34:G34"/>
    <mergeCell ref="A58:G58"/>
    <mergeCell ref="A1:G1"/>
    <mergeCell ref="A56:G56"/>
    <mergeCell ref="A3:G3"/>
    <mergeCell ref="A55:G55"/>
    <mergeCell ref="A4:G4"/>
    <mergeCell ref="A54:G54"/>
    <mergeCell ref="A2:G2"/>
    <mergeCell ref="A57:G57"/>
    <mergeCell ref="A46:G46"/>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G77"/>
  <sheetViews>
    <sheetView zoomScaleNormal="100" workbookViewId="0">
      <pane ySplit="6" topLeftCell="A17" activePane="bottomLeft" state="frozen"/>
      <selection pane="bottomLeft" activeCell="A1" sqref="A1:G1"/>
    </sheetView>
  </sheetViews>
  <sheetFormatPr baseColWidth="8" defaultColWidth="8.7109375" defaultRowHeight="15"/>
  <cols>
    <col width="60" customWidth="1" style="143" min="1" max="1"/>
    <col width="20" customWidth="1" style="143" min="2" max="5"/>
    <col width="18" customWidth="1" style="143" min="6" max="6"/>
    <col width="55" customWidth="1" style="143" min="7" max="7"/>
  </cols>
  <sheetData>
    <row r="1" ht="15.75" customHeight="1" s="143">
      <c r="A1" s="144" t="inlineStr">
        <is>
          <t>[ENTITY NAME] — Schedule M-3 — Net Income (Loss) Reconciliation</t>
        </is>
      </c>
    </row>
    <row r="2" ht="15" customHeight="1" s="143">
      <c r="A2" s="175" t="inlineStr">
        <is>
          <t>Tax Year Ended [MM/DD/YYYY]</t>
        </is>
      </c>
    </row>
    <row r="3" ht="15" customHeight="1" s="143">
      <c r="A3" s="145" t="inlineStr">
        <is>
          <t>NOTE: Desert Peak files M-1 (assets &lt; $10M). This M-3 is included as a template. All formulas tie to WTB.</t>
        </is>
      </c>
    </row>
    <row r="4" ht="15" customHeight="1" s="143"/>
    <row r="5" ht="15" customHeight="1" s="143">
      <c r="A5" s="148" t="inlineStr">
        <is>
          <t>PART II — Reconciliation of Net Income per Income Statement to Income per Return</t>
        </is>
      </c>
    </row>
    <row r="6" ht="54.75" customHeight="1" s="143">
      <c r="A6" s="7" t="inlineStr">
        <is>
          <t>Line Item</t>
        </is>
      </c>
      <c r="B6" s="7" t="inlineStr">
        <is>
          <t>(a)
Book
Amount</t>
        </is>
      </c>
      <c r="C6" s="7" t="inlineStr">
        <is>
          <t>(b)
Temporary
Differences</t>
        </is>
      </c>
      <c r="D6" s="7" t="inlineStr">
        <is>
          <t>(c)
Permanent
Differences</t>
        </is>
      </c>
      <c r="E6" s="7" t="inlineStr">
        <is>
          <t>(d) = a + b + c
Tax Return
Amount</t>
        </is>
      </c>
      <c r="F6" s="7" t="inlineStr">
        <is>
          <t>Ties To
(Return Line)</t>
        </is>
      </c>
      <c r="G6" s="7" t="inlineStr">
        <is>
          <t>Notes</t>
        </is>
      </c>
    </row>
    <row r="7" ht="15" customHeight="1" s="143">
      <c r="A7" s="200" t="inlineStr">
        <is>
          <t>INCOME ITEMS</t>
        </is>
      </c>
      <c r="B7" s="8" t="n"/>
      <c r="C7" s="8" t="n"/>
      <c r="D7" s="8" t="n"/>
      <c r="E7" s="8" t="n"/>
      <c r="F7" s="8" t="n"/>
      <c r="G7" s="8" t="n"/>
    </row>
    <row r="8" ht="15" customHeight="1" s="143">
      <c r="A8" s="31" t="inlineStr">
        <is>
          <t>1. Gross receipts / sales</t>
        </is>
      </c>
      <c r="B8" s="82">
        <f>'Working Trial Balance'!B64+'Working Trial Balance'!B65</f>
        <v/>
      </c>
      <c r="C8" s="82" t="n">
        <v>0</v>
      </c>
      <c r="D8" s="82" t="n">
        <v>0</v>
      </c>
      <c r="E8" s="82">
        <f>B8+C8+D8</f>
        <v/>
      </c>
      <c r="F8" s="62" t="inlineStr">
        <is>
          <t>Pg 1, Ln 1a</t>
        </is>
      </c>
      <c r="G8" s="63" t="inlineStr">
        <is>
          <t>Book consulting + software revenue from WTB</t>
        </is>
      </c>
    </row>
    <row r="9" ht="15" customHeight="1" s="143">
      <c r="A9" s="31" t="inlineStr">
        <is>
          <t>2. Returns &amp; allowances</t>
        </is>
      </c>
      <c r="B9" s="82">
        <f>'Working Trial Balance'!B67</f>
        <v/>
      </c>
      <c r="C9" s="82" t="n">
        <v>0</v>
      </c>
      <c r="D9" s="82" t="n">
        <v>0</v>
      </c>
      <c r="E9" s="82">
        <f>B9+C9+D9</f>
        <v/>
      </c>
      <c r="F9" s="62" t="inlineStr">
        <is>
          <t>Pg 1, Ln 1b</t>
        </is>
      </c>
      <c r="G9" s="63" t="n"/>
    </row>
    <row r="10" ht="15" customHeight="1" s="143">
      <c r="A10" s="31" t="inlineStr">
        <is>
          <t>3. Cost of goods sold</t>
        </is>
      </c>
      <c r="B10" s="82">
        <f>-'Working Trial Balance'!D80</f>
        <v/>
      </c>
      <c r="C10" s="82" t="n">
        <v>0</v>
      </c>
      <c r="D10" s="82" t="n">
        <v>0</v>
      </c>
      <c r="E10" s="82">
        <f>B10+C10+D10</f>
        <v/>
      </c>
      <c r="F10" s="62" t="inlineStr">
        <is>
          <t>Pg 1, Ln 2</t>
        </is>
      </c>
      <c r="G10" s="63" t="inlineStr">
        <is>
          <t>Shown as negative (expense)</t>
        </is>
      </c>
    </row>
    <row r="11" ht="15" customHeight="1" s="143">
      <c r="A11" s="31" t="inlineStr">
        <is>
          <t>4. Interest income</t>
        </is>
      </c>
      <c r="B11" s="82">
        <f>'Working Trial Balance'!B68</f>
        <v/>
      </c>
      <c r="C11" s="82" t="n">
        <v>0</v>
      </c>
      <c r="D11" s="82" t="n">
        <v>0</v>
      </c>
      <c r="E11" s="82">
        <f>B11+C11+D11</f>
        <v/>
      </c>
      <c r="F11" s="62" t="inlineStr">
        <is>
          <t>K Ln 4</t>
        </is>
      </c>
      <c r="G11" s="63" t="inlineStr">
        <is>
          <t>Portfolio — separately stated</t>
        </is>
      </c>
    </row>
    <row r="12" ht="15" customHeight="1" s="143">
      <c r="A12" s="31" t="inlineStr">
        <is>
          <t>5. Dividend income</t>
        </is>
      </c>
      <c r="B12" s="82">
        <f>'Working Trial Balance'!B69</f>
        <v/>
      </c>
      <c r="C12" s="82" t="n">
        <v>0</v>
      </c>
      <c r="D12" s="82" t="n">
        <v>0</v>
      </c>
      <c r="E12" s="82">
        <f>B12+C12+D12</f>
        <v/>
      </c>
      <c r="F12" s="62" t="inlineStr">
        <is>
          <t>K Ln 5a</t>
        </is>
      </c>
      <c r="G12" s="63" t="inlineStr">
        <is>
          <t>Qualified $6,800 → K Ln 5b</t>
        </is>
      </c>
    </row>
    <row r="13" ht="15" customHeight="1" s="143">
      <c r="A13" s="31" t="inlineStr">
        <is>
          <t>6. Capital gains (net LTCG)</t>
        </is>
      </c>
      <c r="B13" s="82">
        <f>'Working Trial Balance'!B70</f>
        <v/>
      </c>
      <c r="C13" s="82" t="n">
        <v>0</v>
      </c>
      <c r="D13" s="82" t="n">
        <v>0</v>
      </c>
      <c r="E13" s="82">
        <f>B13+C13+D13</f>
        <v/>
      </c>
      <c r="F13" s="62" t="inlineStr">
        <is>
          <t>K Ln 8a</t>
        </is>
      </c>
      <c r="G13" s="63" t="inlineStr">
        <is>
          <t>From Form 8949 / Sch D</t>
        </is>
      </c>
    </row>
    <row r="14" ht="27.75" customHeight="1" s="143">
      <c r="A14" s="31" t="inlineStr">
        <is>
          <t>7. Gain on sale of assets</t>
        </is>
      </c>
      <c r="B14" s="82">
        <f>'Working Trial Balance'!B71</f>
        <v/>
      </c>
      <c r="C14" s="82" t="n">
        <v>0</v>
      </c>
      <c r="D14" s="82" t="n">
        <v>0</v>
      </c>
      <c r="E14" s="82">
        <f>B14+C14+D14</f>
        <v/>
      </c>
      <c r="F14" s="62" t="inlineStr">
        <is>
          <t>Pg 1 Ln 4 /
K Ln 9</t>
        </is>
      </c>
      <c r="G14" s="63" t="inlineStr">
        <is>
          <t>Ordinary recapture $10K + §1231 $5K</t>
        </is>
      </c>
    </row>
    <row r="15" ht="15" customHeight="1" s="143">
      <c r="A15" s="31" t="inlineStr">
        <is>
          <t>8. Equipment rental income</t>
        </is>
      </c>
      <c r="B15" s="82">
        <f>'Working Trial Balance'!B66</f>
        <v/>
      </c>
      <c r="C15" s="82" t="n">
        <v>0</v>
      </c>
      <c r="D15" s="82" t="n">
        <v>0</v>
      </c>
      <c r="E15" s="82">
        <f>B15+C15+D15</f>
        <v/>
      </c>
      <c r="F15" s="62" t="inlineStr">
        <is>
          <t>K Ln 3a</t>
        </is>
      </c>
      <c r="G15" s="63" t="inlineStr">
        <is>
          <t>Separately stated rental activity</t>
        </is>
      </c>
    </row>
    <row r="16" ht="15" customHeight="1" s="143">
      <c r="A16" s="31" t="inlineStr">
        <is>
          <t>9. Tax-exempt interest</t>
        </is>
      </c>
      <c r="B16" s="82">
        <f>'Working Trial Balance'!B72</f>
        <v/>
      </c>
      <c r="C16" s="82" t="n">
        <v>0</v>
      </c>
      <c r="D16" s="186" t="n"/>
      <c r="E16" s="82">
        <f>B16+C16+D16</f>
        <v/>
      </c>
      <c r="F16" s="62" t="inlineStr">
        <is>
          <t>K Ln 16a</t>
        </is>
      </c>
      <c r="G16" s="63" t="inlineStr">
        <is>
          <t>PERMANENT: Not taxable. Increases OAA &amp; basis.</t>
        </is>
      </c>
    </row>
    <row r="17" ht="15" customHeight="1" s="143">
      <c r="A17" s="31" t="inlineStr">
        <is>
          <t>10. Unrealized gain on investments</t>
        </is>
      </c>
      <c r="B17" s="82">
        <f>'Working Trial Balance'!B73</f>
        <v/>
      </c>
      <c r="C17" s="186" t="n"/>
      <c r="D17" s="82" t="n">
        <v>0</v>
      </c>
      <c r="E17" s="82">
        <f>B17+C17+D17</f>
        <v/>
      </c>
      <c r="F17" s="62" t="inlineStr">
        <is>
          <t>N/A</t>
        </is>
      </c>
      <c r="G17" s="63" t="inlineStr">
        <is>
          <t>TEMPORARY: Book mark-to-market not recognized for tax.</t>
        </is>
      </c>
    </row>
    <row r="18" ht="15" customHeight="1" s="143">
      <c r="A18" s="242" t="inlineStr">
        <is>
          <t>TOTAL INCOME ITEMS</t>
        </is>
      </c>
      <c r="B18" s="202">
        <f>SUM(B8:B17)</f>
        <v/>
      </c>
      <c r="C18" s="202">
        <f>SUM(C8:C17)</f>
        <v/>
      </c>
      <c r="D18" s="202">
        <f>SUM(D8:D17)</f>
        <v/>
      </c>
      <c r="E18" s="202">
        <f>SUM(E8:E17)</f>
        <v/>
      </c>
      <c r="F18" s="102" t="n"/>
      <c r="G18" s="64" t="n"/>
    </row>
    <row r="19" ht="15" customHeight="1" s="143"/>
    <row r="20" ht="15" customHeight="1" s="143">
      <c r="A20" s="8" t="inlineStr">
        <is>
          <t>EXPENSE / DEDUCTION ITEMS (shown as positive = expense)</t>
        </is>
      </c>
      <c r="B20" s="8" t="n"/>
      <c r="C20" s="8" t="n"/>
      <c r="D20" s="8" t="n"/>
      <c r="E20" s="8" t="n"/>
      <c r="F20" s="8" t="n"/>
      <c r="G20" s="8" t="n"/>
    </row>
    <row r="21" ht="15" customHeight="1" s="143">
      <c r="A21" s="31" t="inlineStr">
        <is>
          <t>11. Officer compensation</t>
        </is>
      </c>
      <c r="B21" s="82">
        <f>'Working Trial Balance'!B83+'Working Trial Balance'!B84</f>
        <v/>
      </c>
      <c r="C21" s="82" t="n">
        <v>0</v>
      </c>
      <c r="D21" s="82" t="n">
        <v>0</v>
      </c>
      <c r="E21" s="82">
        <f>B21+C21+D21</f>
        <v/>
      </c>
      <c r="F21" s="62" t="inlineStr">
        <is>
          <t>Pg 1, Ln 7</t>
        </is>
      </c>
      <c r="G21" s="63" t="inlineStr">
        <is>
          <t>No book-tax diff. Verify reasonable comp.</t>
        </is>
      </c>
    </row>
    <row r="22" ht="15" customHeight="1" s="143">
      <c r="A22" s="31" t="inlineStr">
        <is>
          <t>12. Salaries &amp; wages</t>
        </is>
      </c>
      <c r="B22" s="82">
        <f>'Working Trial Balance'!B88</f>
        <v/>
      </c>
      <c r="C22" s="82" t="n">
        <v>0</v>
      </c>
      <c r="D22" s="82" t="n">
        <v>0</v>
      </c>
      <c r="E22" s="82">
        <f>B22+C22+D22</f>
        <v/>
      </c>
      <c r="F22" s="62" t="inlineStr">
        <is>
          <t>Pg 1, Ln 8</t>
        </is>
      </c>
      <c r="G22" s="63" t="inlineStr">
        <is>
          <t>Reconcile to W-3</t>
        </is>
      </c>
    </row>
    <row r="23" ht="15" customHeight="1" s="143">
      <c r="A23" s="31" t="inlineStr">
        <is>
          <t>13. Payroll taxes</t>
        </is>
      </c>
      <c r="B23" s="82">
        <f>'Working Trial Balance'!B89</f>
        <v/>
      </c>
      <c r="C23" s="82" t="n">
        <v>0</v>
      </c>
      <c r="D23" s="82" t="n">
        <v>0</v>
      </c>
      <c r="E23" s="82">
        <f>B23+C23+D23</f>
        <v/>
      </c>
      <c r="F23" s="62" t="inlineStr">
        <is>
          <t>Pg 1, Ln 12</t>
        </is>
      </c>
      <c r="G23" s="63" t="n"/>
    </row>
    <row r="24" ht="15" customHeight="1" s="143">
      <c r="A24" s="31" t="inlineStr">
        <is>
          <t>14. &gt;2% SH health insurance</t>
        </is>
      </c>
      <c r="B24" s="82">
        <f>'Working Trial Balance'!B91</f>
        <v/>
      </c>
      <c r="C24" s="82" t="n">
        <v>0</v>
      </c>
      <c r="D24" s="186" t="n"/>
      <c r="E24" s="82">
        <f>B24+C24+D24</f>
        <v/>
      </c>
      <c r="F24" s="62" t="inlineStr">
        <is>
          <t>NOT on 1120-S</t>
        </is>
      </c>
      <c r="G24" s="63" t="inlineStr">
        <is>
          <t>PERMANENT: Added to W-2 instead. SH deducts on 1040.</t>
        </is>
      </c>
    </row>
    <row r="25" ht="15" customHeight="1" s="143">
      <c r="A25" s="31" t="inlineStr">
        <is>
          <t>15. Depreciation (book)</t>
        </is>
      </c>
      <c r="B25" s="82" t="n">
        <v>60000</v>
      </c>
      <c r="C25" s="186" t="n"/>
      <c r="D25" s="82" t="n">
        <v>0</v>
      </c>
      <c r="E25" s="82">
        <f>B25+C25+D25</f>
        <v/>
      </c>
      <c r="F25" s="62" t="inlineStr">
        <is>
          <t>N/A — removed</t>
        </is>
      </c>
      <c r="G25" s="63" t="inlineStr">
        <is>
          <t>TEMPORARY: Book depr removed, replaced by tax MACRS.</t>
        </is>
      </c>
    </row>
    <row r="26" ht="15" customHeight="1" s="143">
      <c r="A26" s="31" t="inlineStr">
        <is>
          <t>16. Depreciation (tax MACRS/bonus)</t>
        </is>
      </c>
      <c r="B26" s="82" t="n">
        <v>0</v>
      </c>
      <c r="C26" s="101">
        <f>'Working Trial Balance'!D109</f>
        <v/>
      </c>
      <c r="D26" s="82" t="n">
        <v>0</v>
      </c>
      <c r="E26" s="82">
        <f>B26+C26+D26</f>
        <v/>
      </c>
      <c r="F26" s="62" t="inlineStr">
        <is>
          <t>Pg 1, Ln 14</t>
        </is>
      </c>
      <c r="G26" s="63" t="inlineStr">
        <is>
          <t>TEMPORARY: Tax depr from Form 4562.</t>
        </is>
      </c>
    </row>
    <row r="27" ht="15" customHeight="1" s="143">
      <c r="A27" s="31" t="inlineStr">
        <is>
          <t>17. §179 deduction</t>
        </is>
      </c>
      <c r="B27" s="82" t="n">
        <v>0</v>
      </c>
      <c r="C27" s="101">
        <f>'Working Trial Balance'!D110</f>
        <v/>
      </c>
      <c r="D27" s="82" t="n">
        <v>0</v>
      </c>
      <c r="E27" s="82">
        <f>B27+C27+D27</f>
        <v/>
      </c>
      <c r="F27" s="62" t="inlineStr">
        <is>
          <t>K Ln 11</t>
        </is>
      </c>
      <c r="G27" s="63" t="inlineStr">
        <is>
          <t>TEMPORARY: Separately stated. SH-level limit.</t>
        </is>
      </c>
    </row>
    <row r="28" ht="27.75" customHeight="1" s="143">
      <c r="A28" s="31" t="inlineStr">
        <is>
          <t>18. Business meals</t>
        </is>
      </c>
      <c r="B28" s="82">
        <f>'Working Trial Balance'!B99</f>
        <v/>
      </c>
      <c r="C28" s="82" t="n">
        <v>0</v>
      </c>
      <c r="D28" s="186" t="n"/>
      <c r="E28" s="82">
        <f>B28+C28+D28</f>
        <v/>
      </c>
      <c r="F28" s="62" t="inlineStr">
        <is>
          <t>Pg 1 Ln 19
(50% only)</t>
        </is>
      </c>
      <c r="G28" s="63" t="inlineStr">
        <is>
          <t>PERMANENT: 50% disallowance.</t>
        </is>
      </c>
    </row>
    <row r="29" ht="15" customHeight="1" s="143">
      <c r="A29" s="31" t="inlineStr">
        <is>
          <t>19. Entertainment</t>
        </is>
      </c>
      <c r="B29" s="82">
        <f>'Working Trial Balance'!B100</f>
        <v/>
      </c>
      <c r="C29" s="82" t="n">
        <v>0</v>
      </c>
      <c r="D29" s="186" t="n"/>
      <c r="E29" s="82">
        <f>B29+C29+D29</f>
        <v/>
      </c>
      <c r="F29" s="62" t="inlineStr">
        <is>
          <t>N/A — $0</t>
        </is>
      </c>
      <c r="G29" s="63" t="inlineStr">
        <is>
          <t>PERMANENT: 100% nondeductible §274(a).</t>
        </is>
      </c>
    </row>
    <row r="30" ht="15" customHeight="1" s="143">
      <c r="A30" s="31" t="inlineStr">
        <is>
          <t>20. Charitable contributions</t>
        </is>
      </c>
      <c r="B30" s="82">
        <f>'Working Trial Balance'!B114</f>
        <v/>
      </c>
      <c r="C30" s="82" t="n">
        <v>0</v>
      </c>
      <c r="D30" s="186" t="n"/>
      <c r="E30" s="82">
        <f>B30+C30+D30</f>
        <v/>
      </c>
      <c r="F30" s="62" t="inlineStr">
        <is>
          <t>K Ln 12a</t>
        </is>
      </c>
      <c r="G30" s="63" t="inlineStr">
        <is>
          <t>PERMANENT (entity): Separately stated. SH AGI limits.</t>
        </is>
      </c>
    </row>
    <row r="31" ht="15" customHeight="1" s="143">
      <c r="A31" s="31" t="inlineStr">
        <is>
          <t>21. Fines and penalties</t>
        </is>
      </c>
      <c r="B31" s="82">
        <f>'Working Trial Balance'!B116</f>
        <v/>
      </c>
      <c r="C31" s="82" t="n">
        <v>0</v>
      </c>
      <c r="D31" s="186" t="n"/>
      <c r="E31" s="82">
        <f>B31+C31+D31</f>
        <v/>
      </c>
      <c r="F31" s="62" t="inlineStr">
        <is>
          <t>N/A — $0</t>
        </is>
      </c>
      <c r="G31" s="63" t="inlineStr">
        <is>
          <t>PERMANENT: 100% nondeductible §162(f).</t>
        </is>
      </c>
    </row>
    <row r="32" ht="15" customHeight="1" s="143">
      <c r="A32" s="31" t="inlineStr">
        <is>
          <t>22. Political contributions</t>
        </is>
      </c>
      <c r="B32" s="82">
        <f>'Working Trial Balance'!B115</f>
        <v/>
      </c>
      <c r="C32" s="82" t="n">
        <v>0</v>
      </c>
      <c r="D32" s="186" t="n"/>
      <c r="E32" s="82">
        <f>B32+C32+D32</f>
        <v/>
      </c>
      <c r="F32" s="62" t="inlineStr">
        <is>
          <t>N/A — $0</t>
        </is>
      </c>
      <c r="G32" s="63" t="inlineStr">
        <is>
          <t>PERMANENT: 100% nondeductible.</t>
        </is>
      </c>
    </row>
    <row r="33" ht="15" customHeight="1" s="143">
      <c r="A33" s="31" t="inlineStr">
        <is>
          <t>23. Life insurance (corp beneficiary)</t>
        </is>
      </c>
      <c r="B33" s="82">
        <f>'Working Trial Balance'!B117</f>
        <v/>
      </c>
      <c r="C33" s="82" t="n">
        <v>0</v>
      </c>
      <c r="D33" s="186" t="n"/>
      <c r="E33" s="82">
        <f>B33+C33+D33</f>
        <v/>
      </c>
      <c r="F33" s="62" t="inlineStr">
        <is>
          <t>N/A — $0</t>
        </is>
      </c>
      <c r="G33" s="63" t="inlineStr">
        <is>
          <t>PERMANENT: Nondeductible — corp is beneficiary.</t>
        </is>
      </c>
    </row>
    <row r="34" ht="15" customHeight="1" s="143">
      <c r="A34" s="31" t="inlineStr">
        <is>
          <t>24. Club dues</t>
        </is>
      </c>
      <c r="B34" s="82">
        <f>'Working Trial Balance'!B118</f>
        <v/>
      </c>
      <c r="C34" s="82" t="n">
        <v>0</v>
      </c>
      <c r="D34" s="186" t="n"/>
      <c r="E34" s="82">
        <f>B34+C34+D34</f>
        <v/>
      </c>
      <c r="F34" s="62" t="inlineStr">
        <is>
          <t>N/A — $0</t>
        </is>
      </c>
      <c r="G34" s="63" t="inlineStr">
        <is>
          <t>PERMANENT: 100% nondeductible §274(a)(3).</t>
        </is>
      </c>
    </row>
    <row r="35" ht="15" customHeight="1" s="143">
      <c r="A35" s="31" t="inlineStr">
        <is>
          <t>25. Rent expense</t>
        </is>
      </c>
      <c r="B35" s="82">
        <f>'Working Trial Balance'!B93</f>
        <v/>
      </c>
      <c r="C35" s="82" t="n">
        <v>0</v>
      </c>
      <c r="D35" s="82" t="n">
        <v>0</v>
      </c>
      <c r="E35" s="82">
        <f>B35+C35+D35</f>
        <v/>
      </c>
      <c r="F35" s="62" t="inlineStr">
        <is>
          <t>Pg 1, Ln 11</t>
        </is>
      </c>
      <c r="G35" s="63" t="n"/>
    </row>
    <row r="36" ht="15" customHeight="1" s="143">
      <c r="A36" s="31" t="inlineStr">
        <is>
          <t>26. Interest expense</t>
        </is>
      </c>
      <c r="B36" s="82">
        <f>-'Working Trial Balance'!B119-'Working Trial Balance'!B120</f>
        <v/>
      </c>
      <c r="C36" s="82" t="n">
        <v>0</v>
      </c>
      <c r="D36" s="82" t="n">
        <v>0</v>
      </c>
      <c r="E36" s="82">
        <f>B36+C36+D36</f>
        <v/>
      </c>
      <c r="F36" s="62" t="inlineStr">
        <is>
          <t>Pg 1, Ln 13</t>
        </is>
      </c>
      <c r="G36" s="63" t="inlineStr">
        <is>
          <t>LOC + vehicle loan. Check §163(j).</t>
        </is>
      </c>
    </row>
    <row r="37" ht="15" customHeight="1" s="143">
      <c r="A37" s="31" t="inlineStr">
        <is>
          <t>27. Employee benefits + 401(k)</t>
        </is>
      </c>
      <c r="B37" s="82">
        <f>'Working Trial Balance'!B90+'Working Trial Balance'!B92</f>
        <v/>
      </c>
      <c r="C37" s="82" t="n">
        <v>0</v>
      </c>
      <c r="D37" s="82" t="n">
        <v>0</v>
      </c>
      <c r="E37" s="82">
        <f>B37+C37+D37</f>
        <v/>
      </c>
      <c r="F37" s="62" t="inlineStr">
        <is>
          <t>Pg 1, Ln 17-18</t>
        </is>
      </c>
      <c r="G37" s="63" t="inlineStr">
        <is>
          <t>Staff health + 401(k)</t>
        </is>
      </c>
    </row>
    <row r="38" ht="15" customHeight="1" s="143">
      <c r="A38" s="31" t="inlineStr">
        <is>
          <t>28. Rental activity expenses</t>
        </is>
      </c>
      <c r="B38" s="82" t="n">
        <v>0</v>
      </c>
      <c r="C38" s="82">
        <f>'Working Trial Balance'!D121</f>
        <v/>
      </c>
      <c r="D38" s="82" t="n">
        <v>0</v>
      </c>
      <c r="E38" s="82">
        <f>B38+C38+D38</f>
        <v/>
      </c>
      <c r="F38" s="62" t="inlineStr">
        <is>
          <t>K Ln 3c</t>
        </is>
      </c>
      <c r="G38" s="63" t="inlineStr">
        <is>
          <t>Equipment rental expenses — separately stated</t>
        </is>
      </c>
    </row>
    <row r="39" ht="27.75" customHeight="1" s="143">
      <c r="A39" s="31" t="inlineStr">
        <is>
          <t>29. All other deductions</t>
        </is>
      </c>
      <c r="B39" s="82">
        <f>'Working Trial Balance'!B101+'Working Trial Balance'!B102+'Working Trial Balance'!B103+'Working Trial Balance'!B104+'Working Trial Balance'!B94+'Working Trial Balance'!B95+'Working Trial Balance'!B96+'Working Trial Balance'!B97+'Working Trial Balance'!B98+'Working Trial Balance'!B111+'Working Trial Balance'!B112+'Working Trial Balance'!B113</f>
        <v/>
      </c>
      <c r="C39" s="82" t="n">
        <v>0</v>
      </c>
      <c r="D39" s="82" t="n">
        <v>0</v>
      </c>
      <c r="E39" s="82">
        <f>B39+C39+D39</f>
        <v/>
      </c>
      <c r="F39" s="62" t="inlineStr">
        <is>
          <t>Pg 1, Ln 9/16/19</t>
        </is>
      </c>
      <c r="G39" s="63" t="inlineStr">
        <is>
          <t>Travel, utils, supplies, telecom, ins, repairs, bank fees, vehicle, etc.</t>
        </is>
      </c>
    </row>
    <row r="40" ht="15" customHeight="1" s="143">
      <c r="A40" s="242" t="inlineStr">
        <is>
          <t>TOTAL EXPENSE ITEMS</t>
        </is>
      </c>
      <c r="B40" s="202">
        <f>SUM(B21:B39)</f>
        <v/>
      </c>
      <c r="C40" s="202">
        <f>SUM(C21:C39)</f>
        <v/>
      </c>
      <c r="D40" s="202">
        <f>SUM(D21:D39)</f>
        <v/>
      </c>
      <c r="E40" s="202">
        <f>SUM(E21:E39)</f>
        <v/>
      </c>
      <c r="F40" s="102" t="n"/>
      <c r="G40" s="64" t="n"/>
    </row>
    <row r="41" ht="15" customHeight="1" s="143">
      <c r="A41" s="259" t="inlineStr">
        <is>
          <t>NET INCOME RECONCILIATION</t>
        </is>
      </c>
    </row>
    <row r="42" ht="15" customHeight="1" s="143">
      <c r="A42" s="242" t="inlineStr">
        <is>
          <t>Net income (loss) = Income − Expenses</t>
        </is>
      </c>
      <c r="B42" s="245">
        <f>B18-B40</f>
        <v/>
      </c>
      <c r="C42" s="245">
        <f>C18-C40</f>
        <v/>
      </c>
      <c r="D42" s="245">
        <f>D18-D40</f>
        <v/>
      </c>
      <c r="E42" s="245">
        <f>E18-E40</f>
        <v/>
      </c>
      <c r="F42" s="66" t="n"/>
      <c r="G42" s="66" t="n"/>
    </row>
    <row r="43" ht="15" customHeight="1" s="143"/>
    <row r="44" ht="15" customHeight="1" s="143">
      <c r="A44" s="174" t="inlineStr">
        <is>
          <t>TIE-OUT CHECKS</t>
        </is>
      </c>
    </row>
    <row r="45" ht="15" customHeight="1" s="143">
      <c r="A45" s="173" t="inlineStr">
        <is>
          <t>CHECK 1: Column (a) net income = P&amp;L Net Income per Books</t>
        </is>
      </c>
    </row>
    <row r="46" ht="15" customHeight="1" s="143">
      <c r="A46" t="inlineStr">
        <is>
          <t xml:space="preserve">   M-3 Col (a) net</t>
        </is>
      </c>
      <c r="B46" s="10">
        <f>B42</f>
        <v/>
      </c>
    </row>
    <row r="47" ht="15" customHeight="1" s="143">
      <c r="A47" t="inlineStr">
        <is>
          <t xml:space="preserve">   P&amp;L net income per books</t>
        </is>
      </c>
      <c r="B47" s="10">
        <f>'P&amp;L'!B63</f>
        <v/>
      </c>
    </row>
    <row r="48" ht="15" customHeight="1" s="143">
      <c r="A48" s="98" t="inlineStr">
        <is>
          <t xml:space="preserve">   DIFFERENCE (should be zero)</t>
        </is>
      </c>
      <c r="B48" s="99">
        <f>B46-B47</f>
        <v/>
      </c>
    </row>
    <row r="49" ht="15" customHeight="1" s="143"/>
    <row r="50" ht="15" customHeight="1" s="143">
      <c r="A50" s="173" t="inlineStr">
        <is>
          <t>CHECK 2: M-3 Col (d) Net Income → M-1 Line 7 Bridge</t>
        </is>
      </c>
      <c r="B50" s="168" t="n"/>
      <c r="C50" s="168" t="n"/>
      <c r="D50" s="168" t="n"/>
      <c r="E50" s="168" t="n"/>
      <c r="F50" s="168" t="n"/>
      <c r="G50" s="168" t="n"/>
    </row>
    <row r="51" ht="15" customHeight="1" s="143">
      <c r="A51" s="168" t="inlineStr">
        <is>
          <t xml:space="preserve">   M-3 Col (d) net income per return</t>
        </is>
      </c>
      <c r="B51" s="95">
        <f>E42</f>
        <v/>
      </c>
      <c r="C51" s="168" t="n"/>
      <c r="D51" s="168" t="n"/>
      <c r="E51" s="168" t="n"/>
      <c r="F51" s="168" t="n"/>
      <c r="G51" s="168" t="n"/>
    </row>
    <row r="52" ht="15" customHeight="1" s="143">
      <c r="A52" s="261" t="inlineStr">
        <is>
          <t xml:space="preserve">   M-1 Line 7 (income per return from WTB)</t>
        </is>
      </c>
      <c r="B52" s="95">
        <f>'Working Trial Balance'!F168</f>
        <v/>
      </c>
      <c r="C52" s="168" t="n"/>
      <c r="D52" s="168" t="n"/>
      <c r="E52" s="168" t="n"/>
      <c r="F52" s="168" t="n"/>
      <c r="G52" s="168" t="n"/>
    </row>
    <row r="53" ht="15" customHeight="1" s="143">
      <c r="A53" s="98" t="inlineStr">
        <is>
          <t xml:space="preserve">   DIFFERENCE</t>
        </is>
      </c>
      <c r="B53" s="99">
        <f>B51-B52</f>
        <v/>
      </c>
      <c r="C53" s="168" t="n"/>
      <c r="D53" s="168" t="n"/>
      <c r="E53" s="168" t="n"/>
      <c r="F53" s="168" t="n"/>
      <c r="G53" s="168" t="n"/>
    </row>
    <row r="54" ht="15" customHeight="1" s="143">
      <c r="A54" s="168" t="n"/>
      <c r="B54" s="95" t="n"/>
      <c r="C54" s="168" t="n"/>
      <c r="D54" s="168" t="n"/>
      <c r="E54" s="168" t="n"/>
      <c r="F54" s="168" t="n"/>
      <c r="G54" s="168" t="n"/>
    </row>
    <row r="55" ht="15" customHeight="1" s="143">
      <c r="A55" s="149" t="inlineStr">
        <is>
          <t xml:space="preserve">   NOTE: M-3 Col (d) and M-1 Line 7 will NOT match exactly.</t>
        </is>
      </c>
      <c r="B55" s="168" t="n"/>
      <c r="C55" s="168" t="n"/>
      <c r="D55" s="168" t="n"/>
      <c r="E55" s="168" t="n"/>
      <c r="F55" s="168" t="n"/>
      <c r="G55" s="168" t="n"/>
    </row>
    <row r="56" ht="15" customHeight="1" s="143">
      <c r="A56" s="149" t="inlineStr">
        <is>
          <t xml:space="preserve">   M-3 captures items at the Pg 1 / gross level. M-1 Line 7 reconciles from</t>
        </is>
      </c>
      <c r="B56" s="95" t="n"/>
      <c r="C56" s="168" t="n"/>
      <c r="D56" s="168" t="n"/>
      <c r="E56" s="168" t="n"/>
      <c r="F56" s="168" t="n"/>
      <c r="G56" s="103" t="n"/>
    </row>
    <row r="57" ht="15" customHeight="1" s="143">
      <c r="A57" s="149" t="inlineStr">
        <is>
          <t xml:space="preserve">   book NI and includes M-1 addbacks (SH health, nondeductibles) that are NOT</t>
        </is>
      </c>
      <c r="B57" s="95" t="n"/>
      <c r="C57" s="168" t="n"/>
      <c r="D57" s="168" t="n"/>
      <c r="E57" s="168" t="n"/>
      <c r="F57" s="168" t="n"/>
      <c r="G57" s="103" t="n"/>
    </row>
    <row r="58" ht="15" customHeight="1" s="143">
      <c r="A58" s="149" t="inlineStr">
        <is>
          <t xml:space="preserve">   on M-3. The difference represents these reconciling items. A large unexpected</t>
        </is>
      </c>
      <c r="B58" s="95" t="n"/>
      <c r="C58" s="168" t="n"/>
      <c r="D58" s="168" t="n"/>
      <c r="E58" s="168" t="n"/>
      <c r="F58" s="168" t="n"/>
      <c r="G58" s="168" t="n"/>
    </row>
    <row r="59" ht="15" customHeight="1" s="143">
      <c r="A59" s="149" t="inlineStr">
        <is>
          <t xml:space="preserve">   difference should be investigated.</t>
        </is>
      </c>
      <c r="B59" s="95" t="n"/>
      <c r="C59" s="168" t="n"/>
      <c r="D59" s="168" t="n"/>
      <c r="E59" s="168" t="n"/>
      <c r="F59" s="168" t="n"/>
      <c r="G59" s="168" t="n"/>
    </row>
    <row r="60" ht="15" customHeight="1" s="143">
      <c r="A60" s="168" t="n"/>
      <c r="B60" s="95" t="n"/>
      <c r="C60" s="168" t="n"/>
      <c r="D60" s="168" t="n"/>
      <c r="E60" s="168" t="n"/>
      <c r="F60" s="168" t="n"/>
      <c r="G60" s="168" t="n"/>
    </row>
    <row r="61" ht="15" customHeight="1" s="143">
      <c r="A61" s="168" t="n"/>
      <c r="B61" s="168" t="n"/>
      <c r="C61" s="168" t="n"/>
      <c r="D61" s="168" t="n"/>
      <c r="E61" s="168" t="n"/>
      <c r="F61" s="168" t="n"/>
      <c r="G61" s="168" t="n"/>
    </row>
    <row r="62" ht="15" customHeight="1" s="143">
      <c r="A62" s="168" t="n"/>
      <c r="B62" s="95" t="n"/>
      <c r="C62" s="95" t="n"/>
      <c r="D62" s="95" t="n"/>
      <c r="E62" s="168" t="n"/>
      <c r="F62" s="168" t="n"/>
      <c r="G62" s="168" t="n"/>
    </row>
    <row r="63" ht="15" customHeight="1" s="143">
      <c r="A63" s="168" t="n"/>
      <c r="B63" s="95" t="n"/>
      <c r="C63" s="95" t="n"/>
      <c r="D63" s="95" t="n"/>
      <c r="E63" s="168" t="n"/>
      <c r="F63" s="168" t="n"/>
      <c r="G63" s="168" t="n"/>
    </row>
    <row r="64" ht="15" customHeight="1" s="143">
      <c r="A64" s="168" t="n"/>
      <c r="B64" s="95" t="n"/>
      <c r="C64" s="95" t="n"/>
      <c r="D64" s="95" t="n"/>
      <c r="E64" s="168" t="n"/>
      <c r="F64" s="168" t="n"/>
      <c r="G64" s="168" t="n"/>
    </row>
    <row r="65" ht="15" customHeight="1" s="143">
      <c r="A65" s="168" t="n"/>
      <c r="B65" s="95" t="n"/>
      <c r="C65" s="95" t="n"/>
      <c r="D65" s="95" t="n"/>
      <c r="E65" s="168" t="n"/>
      <c r="F65" s="168" t="n"/>
      <c r="G65" s="168" t="n"/>
    </row>
    <row r="66" ht="15" customHeight="1" s="143">
      <c r="A66" s="168" t="n"/>
      <c r="B66" s="95" t="n"/>
      <c r="C66" s="168" t="n"/>
      <c r="D66" s="168" t="n"/>
      <c r="E66" s="168" t="n"/>
      <c r="F66" s="168" t="n"/>
      <c r="G66" s="168" t="n"/>
    </row>
    <row r="67" ht="15" customHeight="1" s="143">
      <c r="A67" s="168" t="n"/>
      <c r="B67" s="95" t="n"/>
      <c r="C67" s="168" t="n"/>
      <c r="D67" s="168" t="n"/>
      <c r="E67" s="168" t="n"/>
      <c r="F67" s="168" t="n"/>
      <c r="G67" s="168" t="n"/>
    </row>
    <row r="68" ht="15" customHeight="1" s="143">
      <c r="A68" s="168" t="n"/>
      <c r="B68" s="95" t="n"/>
      <c r="C68" s="168" t="n"/>
      <c r="D68" s="168" t="n"/>
      <c r="E68" s="168" t="n"/>
      <c r="F68" s="168" t="n"/>
      <c r="G68" s="168" t="n"/>
    </row>
    <row r="69" ht="15" customHeight="1" s="143">
      <c r="A69" s="168" t="n"/>
      <c r="B69" s="95" t="n"/>
      <c r="C69" s="168" t="n"/>
      <c r="D69" s="168" t="n"/>
      <c r="E69" s="168" t="n"/>
      <c r="F69" s="168" t="n"/>
      <c r="G69" s="168" t="n"/>
    </row>
    <row r="70" ht="15" customHeight="1" s="143">
      <c r="A70" s="168" t="n"/>
      <c r="B70" s="95" t="n"/>
      <c r="C70" s="168" t="n"/>
      <c r="D70" s="168" t="n"/>
      <c r="E70" s="168" t="n"/>
      <c r="F70" s="168" t="n"/>
      <c r="G70" s="168" t="n"/>
    </row>
    <row r="71" ht="15" customHeight="1" s="143">
      <c r="A71" s="168" t="n"/>
      <c r="B71" s="95" t="n"/>
      <c r="C71" s="168" t="n"/>
      <c r="D71" s="168" t="n"/>
      <c r="E71" s="168" t="n"/>
      <c r="F71" s="168" t="n"/>
      <c r="G71" s="168" t="n"/>
    </row>
    <row r="72" ht="15" customHeight="1" s="143">
      <c r="A72" s="168" t="n"/>
      <c r="B72" s="168" t="n"/>
      <c r="C72" s="168" t="n"/>
      <c r="D72" s="168" t="n"/>
      <c r="E72" s="168" t="n"/>
      <c r="F72" s="168" t="n"/>
      <c r="G72" s="168" t="n"/>
    </row>
    <row r="73" ht="15" customHeight="1" s="143">
      <c r="A73" s="201" t="inlineStr">
        <is>
          <t>CHECK 5: Ordinary Business Income tie to WTB / Pg 1, Ln 21 / Sch K, Ln 1</t>
        </is>
      </c>
    </row>
    <row r="74" ht="15" customHeight="1" s="143">
      <c r="A74" s="201" t="inlineStr">
        <is>
          <t xml:space="preserve">   WTB Ordinary Business Income</t>
        </is>
      </c>
      <c r="B74" s="250">
        <f>'Working Trial Balance'!D144</f>
        <v/>
      </c>
    </row>
    <row r="75" ht="15" customHeight="1" s="143">
      <c r="A75" s="261" t="inlineStr">
        <is>
          <t xml:space="preserve">   M-1 Line 1 (net income per books)</t>
        </is>
      </c>
      <c r="B75" s="10">
        <f>'Working Trial Balance'!F147</f>
        <v/>
      </c>
    </row>
    <row r="76" ht="15" customHeight="1" s="143">
      <c r="A76" t="inlineStr">
        <is>
          <t xml:space="preserve">   M-3 Col (a) net income</t>
        </is>
      </c>
      <c r="B76" s="10">
        <f>B42</f>
        <v/>
      </c>
    </row>
    <row r="77" ht="15" customHeight="1" s="143">
      <c r="A77" s="98" t="inlineStr">
        <is>
          <t xml:space="preserve">   Book NI vs M-1 Ln 1 DIFF (should be zero)</t>
        </is>
      </c>
      <c r="B77" s="99">
        <f>B76-B75</f>
        <v/>
      </c>
    </row>
  </sheetData>
  <mergeCells count="6">
    <mergeCell ref="A44:G44"/>
    <mergeCell ref="A1:G1"/>
    <mergeCell ref="A3:G3"/>
    <mergeCell ref="A2:G2"/>
    <mergeCell ref="A41:G41"/>
    <mergeCell ref="A5:G5"/>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808080"/>
    <outlinePr summaryBelow="1" summaryRight="1"/>
    <pageSetUpPr/>
  </sheetPr>
  <dimension ref="A1:G58"/>
  <sheetViews>
    <sheetView zoomScaleNormal="100" workbookViewId="0">
      <pane ySplit="6" topLeftCell="A7" activePane="bottomLeft" state="frozen"/>
      <selection pane="bottomLeft" activeCell="A1" sqref="A1"/>
    </sheetView>
  </sheetViews>
  <sheetFormatPr baseColWidth="8" defaultColWidth="8.7109375" defaultRowHeight="15"/>
  <cols>
    <col width="10" customWidth="1" style="143" min="1" max="1"/>
    <col width="48" customWidth="1" style="143" min="2" max="2"/>
    <col width="22" customWidth="1" style="143" min="3" max="3"/>
    <col width="18" customWidth="1" style="143" min="4" max="5"/>
    <col width="22" customWidth="1" style="143" min="6" max="6"/>
    <col width="55" customWidth="1" style="143" min="7" max="7"/>
  </cols>
  <sheetData>
    <row r="1" ht="17.25" customHeight="1" s="143">
      <c r="A1" s="179" t="inlineStr">
        <is>
          <t>[ENTITY NAME] — Form 7203 — S Corporation Shareholder Stock and Debt Basis Limitations</t>
        </is>
      </c>
    </row>
    <row r="2" ht="15" customHeight="1" s="143">
      <c r="A2" s="168" t="inlineStr">
        <is>
          <t>Tax Year Ended [MM/DD/YYYY]</t>
        </is>
      </c>
    </row>
    <row r="3" ht="15" customHeight="1" s="143">
      <c r="A3" s="149" t="inlineStr">
        <is>
          <t>Shareholder: [NAME]</t>
        </is>
      </c>
    </row>
    <row r="4" ht="15" customHeight="1" s="143">
      <c r="A4" s="145" t="inlineStr">
        <is>
          <t>Filed with shareholder's Form 1040. Required if SH claims loss/deduction, receives distribution, disposes of stock, or receives loan repayment.</t>
        </is>
      </c>
    </row>
    <row r="5" ht="15" customHeight="1" s="143"/>
    <row r="6" ht="30" customHeight="1" s="143">
      <c r="A6" s="18" t="inlineStr">
        <is>
          <t>Line</t>
        </is>
      </c>
      <c r="B6" s="18" t="inlineStr">
        <is>
          <t>Description</t>
        </is>
      </c>
      <c r="C6" s="18" t="inlineStr">
        <is>
          <t>K-1 Box / Source</t>
        </is>
      </c>
      <c r="D6" s="18" t="inlineStr">
        <is>
          <t>Amount</t>
        </is>
      </c>
      <c r="E6" s="18" t="inlineStr">
        <is>
          <t>Running Basis</t>
        </is>
      </c>
      <c r="F6" s="18" t="inlineStr">
        <is>
          <t>Ties To</t>
        </is>
      </c>
      <c r="G6" s="18" t="inlineStr">
        <is>
          <t>Notes</t>
        </is>
      </c>
    </row>
    <row r="7" ht="15" customHeight="1" s="143">
      <c r="A7" s="176" t="n"/>
      <c r="B7" s="176" t="inlineStr">
        <is>
          <t>PART I — SHAREHOLDER STOCK BASIS</t>
        </is>
      </c>
      <c r="C7" s="176" t="n"/>
      <c r="D7" s="176" t="n"/>
      <c r="E7" s="176" t="n"/>
      <c r="F7" s="176" t="n"/>
      <c r="G7" s="176" t="n"/>
    </row>
    <row r="8" ht="23.25" customHeight="1" s="143">
      <c r="A8" s="47" t="inlineStr">
        <is>
          <t>1</t>
        </is>
      </c>
      <c r="B8" s="8" t="inlineStr">
        <is>
          <t>Stock basis at beginning of corporation's tax year</t>
        </is>
      </c>
      <c r="C8" s="48" t="inlineStr">
        <is>
          <t>Prior-year 7203 Ln 27</t>
        </is>
      </c>
      <c r="D8" s="45" t="n"/>
      <c r="E8" s="49" t="n"/>
      <c r="F8" s="8" t="n"/>
      <c r="G8" s="50" t="inlineStr">
        <is>
          <t>⚠ MANUALLY ENTER — Beginning stock basis from prior-year Form 7203 Line 27 (or initial cost basis if first year). This is the MOST CRITICAL input.</t>
        </is>
      </c>
    </row>
    <row r="9" ht="23.25" customHeight="1" s="143">
      <c r="A9" s="19" t="inlineStr">
        <is>
          <t>2</t>
        </is>
      </c>
      <c r="B9" s="35" t="inlineStr">
        <is>
          <t>Stock purchased or additional capital contributions during year</t>
        </is>
      </c>
      <c r="C9" s="35" t="inlineStr">
        <is>
          <t>Stock certs / PBC</t>
        </is>
      </c>
      <c r="D9" s="45" t="n">
        <v>0</v>
      </c>
      <c r="E9" s="35" t="n"/>
      <c r="F9" s="35" t="n"/>
      <c r="G9" s="46" t="inlineStr">
        <is>
          <t>⚠ MANUALLY ENTER — Only if new capital contributed this year. Usually $0.</t>
        </is>
      </c>
    </row>
    <row r="10" ht="27.75" customHeight="1" s="143">
      <c r="A10" s="25" t="inlineStr">
        <is>
          <t>3</t>
        </is>
      </c>
      <c r="B10" s="33" t="inlineStr">
        <is>
          <t>Basis from restored debt repayment (from Part II, if applicable)</t>
        </is>
      </c>
      <c r="C10" s="33" t="inlineStr">
        <is>
          <t>Part II below</t>
        </is>
      </c>
      <c r="D10" s="34" t="n">
        <v>0</v>
      </c>
      <c r="E10" s="33" t="n"/>
      <c r="F10" s="33" t="n"/>
      <c r="G10" s="26" t="inlineStr">
        <is>
          <t>Only if SH had reduced debt basis in prior year AND corp repaid some debt this year. Rare.</t>
        </is>
      </c>
    </row>
    <row r="11" ht="15" customHeight="1" s="143">
      <c r="A11" s="176" t="n"/>
      <c r="B11" s="176" t="inlineStr">
        <is>
          <t>INCREASES TO STOCK BASIS</t>
        </is>
      </c>
      <c r="C11" s="176" t="n"/>
      <c r="D11" s="176" t="n"/>
      <c r="E11" s="176" t="n"/>
      <c r="F11" s="176" t="n"/>
      <c r="G11" s="176" t="n"/>
    </row>
    <row r="12" ht="27.75" customHeight="1" s="143">
      <c r="A12" s="25" t="inlineStr">
        <is>
          <t>4</t>
        </is>
      </c>
      <c r="B12" s="33" t="inlineStr">
        <is>
          <t>Ordinary business income (K-1 Box 1)</t>
        </is>
      </c>
      <c r="C12" s="26" t="inlineStr">
        <is>
          <t>K-1 Box 1 / Sch K Ln 1</t>
        </is>
      </c>
      <c r="D12" s="34">
        <f>'Schedule K'!G11</f>
        <v/>
      </c>
      <c r="E12" s="33" t="n"/>
      <c r="F12" s="33" t="inlineStr">
        <is>
          <t>Sch K Ln 1</t>
        </is>
      </c>
      <c r="G12" s="26" t="inlineStr">
        <is>
          <t>Pro rata share of OBI. Increases basis even though SH may not receive cash.</t>
        </is>
      </c>
    </row>
    <row r="13" ht="27.75" customHeight="1" s="143">
      <c r="A13" s="19" t="inlineStr">
        <is>
          <t>5</t>
        </is>
      </c>
      <c r="B13" s="35" t="inlineStr">
        <is>
          <t>Net rental income (K-1 Box 2/3)</t>
        </is>
      </c>
      <c r="C13" s="20" t="inlineStr">
        <is>
          <t>K-1 Box 3 / Sch K Ln 3c</t>
        </is>
      </c>
      <c r="D13" s="37">
        <f>'Schedule K'!G15</f>
        <v/>
      </c>
      <c r="E13" s="35" t="n"/>
      <c r="F13" s="35" t="inlineStr">
        <is>
          <t>Sch K Ln 3c</t>
        </is>
      </c>
      <c r="G13" s="20" t="inlineStr">
        <is>
          <t>Net rental income (if positive). If negative, goes to loss section below.</t>
        </is>
      </c>
    </row>
    <row r="14" ht="27.75" customHeight="1" s="143">
      <c r="A14" s="25" t="inlineStr">
        <is>
          <t>6</t>
        </is>
      </c>
      <c r="B14" s="33" t="inlineStr">
        <is>
          <t>Interest + dividends + capital gains + §1231 gains (K-1 Boxes 4-9)</t>
        </is>
      </c>
      <c r="C14" s="26" t="inlineStr">
        <is>
          <t>K-1 Boxes 4,5a,8a,9</t>
        </is>
      </c>
      <c r="D14" s="34">
        <f>'Schedule K'!G16+'Schedule K'!G17+'Schedule K'!G21+'Schedule K'!G24</f>
        <v/>
      </c>
      <c r="E14" s="33" t="n"/>
      <c r="F14" s="33" t="inlineStr">
        <is>
          <t>Sch K Ln 4+5a+8a+9</t>
        </is>
      </c>
      <c r="G14" s="26" t="inlineStr">
        <is>
          <t>All separately stated income items: interest, dividends, LTCG, §1231. Only include positive amounts here.</t>
        </is>
      </c>
    </row>
    <row r="15" ht="27.75" customHeight="1" s="143">
      <c r="A15" s="19" t="inlineStr">
        <is>
          <t>7</t>
        </is>
      </c>
      <c r="B15" s="35" t="inlineStr">
        <is>
          <t>Tax-exempt income (K-1 Box 16A/16B)</t>
        </is>
      </c>
      <c r="C15" s="20" t="inlineStr">
        <is>
          <t>K-1 Box 16A / Sch K Ln 16a</t>
        </is>
      </c>
      <c r="D15" s="37">
        <f>'Schedule K'!G56</f>
        <v/>
      </c>
      <c r="E15" s="35" t="n"/>
      <c r="F15" s="35" t="inlineStr">
        <is>
          <t>Sch K Ln 16a</t>
        </is>
      </c>
      <c r="G15" s="20" t="inlineStr">
        <is>
          <t>Muni bond interest. INCREASES basis even though not taxable. This is why it goes to OAA, not AAA.</t>
        </is>
      </c>
    </row>
    <row r="16" ht="15" customHeight="1" s="143">
      <c r="A16" s="25" t="inlineStr">
        <is>
          <t>8</t>
        </is>
      </c>
      <c r="B16" s="33" t="inlineStr">
        <is>
          <t>Excess depletion (oil &amp; gas)</t>
        </is>
      </c>
      <c r="C16" s="33" t="inlineStr">
        <is>
          <t>K-1 Box 15D</t>
        </is>
      </c>
      <c r="D16" s="34" t="n">
        <v>0</v>
      </c>
      <c r="E16" s="33" t="n"/>
      <c r="F16" s="33" t="n"/>
      <c r="G16" s="26" t="inlineStr">
        <is>
          <t>Only for oil/gas. Most S-corps = $0.</t>
        </is>
      </c>
    </row>
    <row r="17" ht="15" customHeight="1" s="143">
      <c r="A17" s="43" t="inlineStr">
        <is>
          <t>9</t>
        </is>
      </c>
      <c r="B17" s="42" t="inlineStr">
        <is>
          <t>TOTAL INCREASES (Lines 4 through 8)</t>
        </is>
      </c>
      <c r="C17" s="42" t="n"/>
      <c r="D17" s="12">
        <f>SUM(D12:D16)</f>
        <v/>
      </c>
      <c r="E17" s="42" t="n"/>
      <c r="F17" s="42" t="n"/>
      <c r="G17" s="52" t="inlineStr">
        <is>
          <t>Sum of all items that increase SH stock basis.</t>
        </is>
      </c>
    </row>
    <row r="18" ht="27.75" customHeight="1" s="143">
      <c r="A18" s="47" t="inlineStr">
        <is>
          <t>10</t>
        </is>
      </c>
      <c r="B18" s="8" t="inlineStr">
        <is>
          <t>Stock basis before distributions &amp; losses (Ln 1 + 2 + 3 + 9)</t>
        </is>
      </c>
      <c r="C18" s="8" t="n"/>
      <c r="D18" s="49">
        <f>D8+D9+D10+D17</f>
        <v/>
      </c>
      <c r="E18" s="49">
        <f>D18</f>
        <v/>
      </c>
      <c r="F18" s="8" t="n"/>
      <c r="G18" s="48" t="inlineStr">
        <is>
          <t>KEY CHECKPOINT: This is your basis before subtracting distributions. Distributions cannot reduce basis below zero.</t>
        </is>
      </c>
    </row>
    <row r="19" ht="15" customHeight="1" s="143">
      <c r="A19" s="176" t="n"/>
      <c r="B19" s="176" t="inlineStr">
        <is>
          <t>DISTRIBUTIONS &amp; NON-DIVIDEND DISTRIBUTIONS</t>
        </is>
      </c>
      <c r="C19" s="176" t="n"/>
      <c r="D19" s="176" t="n"/>
      <c r="E19" s="176" t="n"/>
      <c r="F19" s="176" t="n"/>
      <c r="G19" s="176" t="n"/>
    </row>
    <row r="20" ht="27.75" customHeight="1" s="143">
      <c r="A20" s="25" t="inlineStr">
        <is>
          <t>11</t>
        </is>
      </c>
      <c r="B20" s="33" t="inlineStr">
        <is>
          <t>Distributions (excluding dividend distributions) (K-1 Box 16D)</t>
        </is>
      </c>
      <c r="C20" s="26" t="inlineStr">
        <is>
          <t>K-1 Box 16D / Sch K Ln 16d</t>
        </is>
      </c>
      <c r="D20" s="34">
        <f>'Schedule K'!G59</f>
        <v/>
      </c>
      <c r="E20" s="33" t="n"/>
      <c r="F20" s="33" t="inlineStr">
        <is>
          <t>Sch K Ln 16d / M-2</t>
        </is>
      </c>
      <c r="G20" s="26" t="inlineStr">
        <is>
          <t>This SH's share of total distributions. Cannot reduce stock basis below zero — excess = capital gain.</t>
        </is>
      </c>
    </row>
    <row r="21" ht="27.75" customHeight="1" s="143">
      <c r="A21" s="43" t="inlineStr">
        <is>
          <t>12</t>
        </is>
      </c>
      <c r="B21" s="42" t="inlineStr">
        <is>
          <t>Stock basis after distributions (Ln 10 − Ln 11, but not below zero)</t>
        </is>
      </c>
      <c r="C21" s="42" t="n"/>
      <c r="D21" s="12">
        <f>MAX(D18-D20,0)</f>
        <v/>
      </c>
      <c r="E21" s="12">
        <f>D21</f>
        <v/>
      </c>
      <c r="F21" s="42" t="n"/>
      <c r="G21" s="52" t="inlineStr">
        <is>
          <t>If distributions &gt; Ln 10, excess is capital gain to SH (report on Sch D). Basis cannot go negative from distributions.</t>
        </is>
      </c>
    </row>
    <row r="22" ht="27.75" customHeight="1" s="143">
      <c r="A22" s="25" t="n"/>
      <c r="B22" s="33" t="inlineStr">
        <is>
          <t xml:space="preserve">   ► Distribution excess (capital gain to SH)</t>
        </is>
      </c>
      <c r="C22" s="33" t="n"/>
      <c r="D22" s="34">
        <f>MAX(D20-D18,0)</f>
        <v/>
      </c>
      <c r="E22" s="33">
        <f>IF(D22&gt;0,"⚠ CG to SH","OK - within basis")</f>
        <v/>
      </c>
      <c r="F22" s="33" t="n"/>
      <c r="G22" s="26" t="inlineStr">
        <is>
          <t>If &gt; 0, shareholder must report this as capital gain on personal Sch D. Basis drops to $0.</t>
        </is>
      </c>
    </row>
    <row r="23" ht="15" customHeight="1" s="143">
      <c r="A23" s="176" t="n"/>
      <c r="B23" s="176" t="inlineStr">
        <is>
          <t>DECREASES TO STOCK BASIS (order matters per §1367)</t>
        </is>
      </c>
      <c r="C23" s="176" t="n"/>
      <c r="D23" s="176" t="n"/>
      <c r="E23" s="176" t="n"/>
      <c r="F23" s="176" t="n"/>
      <c r="G23" s="176" t="n"/>
    </row>
    <row r="24" ht="27.75" customHeight="1" s="143">
      <c r="A24" s="25" t="inlineStr">
        <is>
          <t>13</t>
        </is>
      </c>
      <c r="B24" s="33" t="inlineStr">
        <is>
          <t>Nondeductible, noncapital expenses (K-1 Box 16C)</t>
        </is>
      </c>
      <c r="C24" s="26" t="inlineStr">
        <is>
          <t>K-1 Box 16C / Sch K Ln 16c</t>
        </is>
      </c>
      <c r="D24" s="34">
        <f>'Schedule K'!G58</f>
        <v/>
      </c>
      <c r="E24" s="33" t="n"/>
      <c r="F24" s="33" t="inlineStr">
        <is>
          <t>Sch K Ln 16c</t>
        </is>
      </c>
      <c r="G24" s="26" t="inlineStr">
        <is>
          <t>Meals 50%, entertainment, political, penalties, life ins, club dues, &gt;2% SH health. Reduces basis but NOT deductible.</t>
        </is>
      </c>
    </row>
    <row r="25" ht="27.75" customHeight="1" s="143">
      <c r="A25" s="19" t="inlineStr">
        <is>
          <t>14</t>
        </is>
      </c>
      <c r="B25" s="35" t="inlineStr">
        <is>
          <t>Deductions — §179 expense (K-1 Box 11)</t>
        </is>
      </c>
      <c r="C25" s="20" t="inlineStr">
        <is>
          <t>K-1 Box 11 / Sch K Ln 11</t>
        </is>
      </c>
      <c r="D25" s="37">
        <f>'Schedule K'!G27</f>
        <v/>
      </c>
      <c r="E25" s="35" t="n"/>
      <c r="F25" s="35" t="inlineStr">
        <is>
          <t>Sch K Ln 11</t>
        </is>
      </c>
      <c r="G25" s="20" t="inlineStr">
        <is>
          <t>§179 expensing. Limited by SH basis AND SH business income. Already included in OBI for AAA but separately stated on K.</t>
        </is>
      </c>
    </row>
    <row r="26" ht="27.75" customHeight="1" s="143">
      <c r="A26" s="25" t="inlineStr">
        <is>
          <t>15</t>
        </is>
      </c>
      <c r="B26" s="33" t="inlineStr">
        <is>
          <t>Deductions — Charitable contributions (K-1 Box 12A)</t>
        </is>
      </c>
      <c r="C26" s="26" t="inlineStr">
        <is>
          <t>K-1 Box 12A / Sch K Ln 12a</t>
        </is>
      </c>
      <c r="D26" s="34">
        <f>'Schedule K'!G28</f>
        <v/>
      </c>
      <c r="E26" s="33" t="n"/>
      <c r="F26" s="33" t="inlineStr">
        <is>
          <t>Sch K Ln 12a</t>
        </is>
      </c>
      <c r="G26" s="26" t="inlineStr">
        <is>
          <t>Separately stated. SH deducts on personal Sch A. Still reduces stock basis regardless of SH AGI limits.</t>
        </is>
      </c>
    </row>
    <row r="27" ht="41.25" customHeight="1" s="143">
      <c r="A27" s="19" t="inlineStr">
        <is>
          <t>16</t>
        </is>
      </c>
      <c r="B27" s="35" t="inlineStr">
        <is>
          <t>Other deductions, losses, and items that decrease basis</t>
        </is>
      </c>
      <c r="C27" s="35" t="inlineStr">
        <is>
          <t>K-1 various</t>
        </is>
      </c>
      <c r="D27" s="37" t="n">
        <v>0</v>
      </c>
      <c r="E27" s="35" t="n"/>
      <c r="F27" s="35" t="n"/>
      <c r="G27" s="20" t="inlineStr">
        <is>
          <t>Investment interest expense (Box 12H), net OBL if negative (Box 1), rental losses (Box 2/3), STCL (Box 7), other. Include any negative K-1 items here.</t>
        </is>
      </c>
    </row>
    <row r="28" ht="27.75" customHeight="1" s="143">
      <c r="A28" s="47" t="inlineStr">
        <is>
          <t>17</t>
        </is>
      </c>
      <c r="B28" s="8" t="inlineStr">
        <is>
          <t>TOTAL DECREASES (Lines 13 through 16)</t>
        </is>
      </c>
      <c r="C28" s="8" t="n"/>
      <c r="D28" s="49">
        <f>SUM(D24:D27)</f>
        <v/>
      </c>
      <c r="E28" s="8" t="n"/>
      <c r="F28" s="8" t="n"/>
      <c r="G28" s="48" t="inlineStr">
        <is>
          <t>Total items that reduce stock basis. If this exceeds Ln 12, see Part III for loss limitations.</t>
        </is>
      </c>
    </row>
    <row r="29" ht="27.75" customHeight="1" s="143">
      <c r="A29" s="43" t="inlineStr">
        <is>
          <t>18</t>
        </is>
      </c>
      <c r="B29" s="42" t="inlineStr">
        <is>
          <t>Allowable decrease (lesser of Ln 17 or Ln 12)</t>
        </is>
      </c>
      <c r="C29" s="42" t="n"/>
      <c r="D29" s="12">
        <f>MIN(D28,D21)</f>
        <v/>
      </c>
      <c r="E29" s="42" t="n"/>
      <c r="F29" s="42" t="n"/>
      <c r="G29" s="52" t="inlineStr">
        <is>
          <t>Cannot reduce stock basis below zero. Excess losses → carryforward (Part III) or to debt basis (Part II).</t>
        </is>
      </c>
    </row>
    <row r="30" ht="27.75" customHeight="1" s="143">
      <c r="A30" s="25" t="inlineStr">
        <is>
          <t>19</t>
        </is>
      </c>
      <c r="B30" s="33" t="inlineStr">
        <is>
          <t>Suspended losses (Ln 17 − Ln 18, carried forward)</t>
        </is>
      </c>
      <c r="C30" s="33" t="n"/>
      <c r="D30" s="34">
        <f>D28-D29</f>
        <v/>
      </c>
      <c r="E30" s="33">
        <f>IF(D30&gt;0,"⚠ CARRYFORWARD","OK - all deducted")</f>
        <v/>
      </c>
      <c r="F30" s="33" t="n"/>
      <c r="G30" s="26" t="inlineStr">
        <is>
          <t>If &gt; 0, these losses carry forward indefinitely until SH has sufficient basis. Track on next year's 7203.</t>
        </is>
      </c>
    </row>
    <row r="31" ht="41.25" customHeight="1" s="143">
      <c r="A31" s="47" t="inlineStr">
        <is>
          <t>20</t>
        </is>
      </c>
      <c r="B31" s="8" t="inlineStr">
        <is>
          <t>STOCK BASIS AT END OF YEAR (Ln 12 − Ln 18)</t>
        </is>
      </c>
      <c r="C31" s="8" t="n"/>
      <c r="D31" s="49">
        <f>D21-D29</f>
        <v/>
      </c>
      <c r="E31" s="49">
        <f>D31</f>
        <v/>
      </c>
      <c r="F31" s="8" t="n"/>
      <c r="G31" s="48" t="inlineStr">
        <is>
          <t>THIS IS THE ENDING STOCK BASIS. Carries to next year's Ln 1. Should be ≥ $0. If $0, no further losses allowed against stock basis.</t>
        </is>
      </c>
    </row>
    <row r="32" ht="15" customHeight="1" s="143"/>
    <row r="33" ht="15" customHeight="1" s="143">
      <c r="A33" s="176" t="n"/>
      <c r="B33" s="176" t="inlineStr">
        <is>
          <t>PART II — SHAREHOLDER DEBT BASIS</t>
        </is>
      </c>
      <c r="C33" s="176" t="n"/>
      <c r="D33" s="176" t="n"/>
      <c r="E33" s="176" t="n"/>
      <c r="F33" s="176" t="n"/>
      <c r="G33" s="176" t="n"/>
    </row>
    <row r="34" ht="30" customHeight="1" s="143">
      <c r="B34" s="167" t="inlineStr">
        <is>
          <t>Debt basis = loans FROM the shareholder TO the corporation (not bank debt, not corp loans to SH). Only the SH who made the loan gets debt basis.</t>
        </is>
      </c>
    </row>
    <row r="35" ht="15" customHeight="1" s="143">
      <c r="A35" s="25" t="inlineStr">
        <is>
          <t>21</t>
        </is>
      </c>
      <c r="B35" s="33" t="inlineStr">
        <is>
          <t>Shareholder debt basis at beginning of year</t>
        </is>
      </c>
      <c r="C35" s="33" t="inlineStr">
        <is>
          <t>Prior-year 7203 Ln 27</t>
        </is>
      </c>
      <c r="D35" s="34" t="n">
        <v>0</v>
      </c>
      <c r="E35" s="33" t="n"/>
      <c r="F35" s="33" t="n"/>
      <c r="G35" s="28" t="inlineStr">
        <is>
          <t>This shareholder has no loans to the corporation. Debt basis = $0.</t>
        </is>
      </c>
    </row>
    <row r="36" ht="23.25" customHeight="1" s="143">
      <c r="A36" s="19" t="inlineStr">
        <is>
          <t>22</t>
        </is>
      </c>
      <c r="B36" s="35" t="inlineStr">
        <is>
          <t>Additional loans from SH to corp during year</t>
        </is>
      </c>
      <c r="C36" s="35" t="inlineStr">
        <is>
          <t>Loan docs / PBC</t>
        </is>
      </c>
      <c r="D36" s="45" t="n">
        <v>0</v>
      </c>
      <c r="E36" s="35" t="n"/>
      <c r="F36" s="35" t="n"/>
      <c r="G36" s="46" t="inlineStr">
        <is>
          <t>⚠ MANUALLY ENTER — New loans from SH to corp this year. Verify with loan documents.</t>
        </is>
      </c>
    </row>
    <row r="37" ht="27.75" customHeight="1" s="143">
      <c r="A37" s="47" t="inlineStr">
        <is>
          <t>23</t>
        </is>
      </c>
      <c r="B37" s="8" t="inlineStr">
        <is>
          <t>Debt basis before repayment and losses (Ln 21 + 22)</t>
        </is>
      </c>
      <c r="C37" s="8" t="n"/>
      <c r="D37" s="49">
        <f>D35+D36</f>
        <v/>
      </c>
      <c r="E37" s="8" t="n"/>
      <c r="F37" s="8" t="n"/>
      <c r="G37" s="48" t="inlineStr">
        <is>
          <t>Available debt basis before any loan repayments or loss allocations.</t>
        </is>
      </c>
    </row>
    <row r="38" ht="27.75" customHeight="1" s="143">
      <c r="A38" s="19" t="inlineStr">
        <is>
          <t>24</t>
        </is>
      </c>
      <c r="B38" s="35" t="inlineStr">
        <is>
          <t>Losses that exceeded stock basis, applied to debt basis</t>
        </is>
      </c>
      <c r="C38" s="35" t="n"/>
      <c r="D38" s="37">
        <f>MIN(D30,D37)</f>
        <v/>
      </c>
      <c r="E38" s="35" t="n"/>
      <c r="F38" s="35" t="n"/>
      <c r="G38" s="20" t="inlineStr">
        <is>
          <t>If stock basis hit $0 and there are excess losses, they reduce debt basis (up to debt basis amount). §1366(d)(1)(A).</t>
        </is>
      </c>
    </row>
    <row r="39" ht="23.25" customHeight="1" s="143">
      <c r="A39" s="25" t="inlineStr">
        <is>
          <t>25</t>
        </is>
      </c>
      <c r="B39" s="33" t="inlineStr">
        <is>
          <t>Loan repayments from corporation to shareholder</t>
        </is>
      </c>
      <c r="C39" s="26" t="inlineStr">
        <is>
          <t>K-1 Box 16E / Loan docs</t>
        </is>
      </c>
      <c r="D39" s="45" t="n">
        <v>0</v>
      </c>
      <c r="E39" s="33" t="n"/>
      <c r="F39" s="33" t="n"/>
      <c r="G39" s="50" t="inlineStr">
        <is>
          <t>⚠ MANUALLY ENTER — Loan repayments from corp to SH this year. Check bank records / loan amort schedule.</t>
        </is>
      </c>
    </row>
    <row r="40" ht="27.75" customHeight="1" s="143">
      <c r="A40" s="43" t="inlineStr">
        <is>
          <t>26</t>
        </is>
      </c>
      <c r="B40" s="42" t="inlineStr">
        <is>
          <t>DEBT BASIS AT END OF YEAR (Ln 23 − 24 − 25)</t>
        </is>
      </c>
      <c r="C40" s="42" t="n"/>
      <c r="D40" s="12">
        <f>MAX(D37-D38-D39,0)</f>
        <v/>
      </c>
      <c r="E40" s="12">
        <f>D40</f>
        <v/>
      </c>
      <c r="F40" s="42" t="n"/>
      <c r="G40" s="52" t="inlineStr">
        <is>
          <t>Ending debt basis. If reduced below face value of loan, a future repayment triggers gain recognition.</t>
        </is>
      </c>
    </row>
    <row r="41" ht="27.75" customHeight="1" s="143">
      <c r="A41" s="33" t="n"/>
      <c r="B41" s="33" t="inlineStr">
        <is>
          <t xml:space="preserve">   ► Gain on loan repayment (if debt basis &lt; repayment)</t>
        </is>
      </c>
      <c r="C41" s="33" t="n"/>
      <c r="D41" s="34">
        <f>MAX(D39-D37+D38,0)</f>
        <v/>
      </c>
      <c r="E41" s="33">
        <f>IF(D41&gt;0,"⚠ TAXABLE GAIN","OK - no gain")</f>
        <v/>
      </c>
      <c r="F41" s="33" t="n"/>
      <c r="G41" s="26" t="inlineStr">
        <is>
          <t>If &gt; 0, SH has ordinary income on loan repayment. Report on Form 1040. See §1367(b)(2).</t>
        </is>
      </c>
    </row>
    <row r="42" ht="15" customHeight="1" s="143"/>
    <row r="43" ht="15" customHeight="1" s="143">
      <c r="A43" s="176" t="n"/>
      <c r="B43" s="176" t="inlineStr">
        <is>
          <t>TOTAL BASIS SUMMARY</t>
        </is>
      </c>
      <c r="C43" s="176" t="n"/>
      <c r="D43" s="176" t="n"/>
      <c r="E43" s="176" t="n"/>
      <c r="F43" s="176" t="n"/>
      <c r="G43" s="176" t="n"/>
    </row>
    <row r="44" ht="41.25" customHeight="1" s="143">
      <c r="A44" s="54" t="inlineStr">
        <is>
          <t>27</t>
        </is>
      </c>
      <c r="B44" s="55" t="inlineStr">
        <is>
          <t>TOTAL SHAREHOLDER BASIS (Stock Ln 20 + Debt Ln 26)</t>
        </is>
      </c>
      <c r="C44" s="55" t="n"/>
      <c r="D44" s="56">
        <f>D31+D40</f>
        <v/>
      </c>
      <c r="E44" s="57">
        <f>D44</f>
        <v/>
      </c>
      <c r="F44" s="55" t="n"/>
      <c r="G44" s="58" t="inlineStr">
        <is>
          <t>TOTAL BASIS = stock + debt. This limits total deductible losses AND is used for gain/loss on stock sale. Carries forward to next year 7203 Line 1.</t>
        </is>
      </c>
    </row>
    <row r="45" ht="15" customHeight="1" s="143"/>
    <row r="46" ht="15" customHeight="1" s="143">
      <c r="A46" s="170" t="inlineStr">
        <is>
          <t>TIE-OUT CHECKS</t>
        </is>
      </c>
    </row>
    <row r="47" ht="15" customHeight="1" s="143">
      <c r="B47" s="173" t="inlineStr">
        <is>
          <t>Stock basis ≥ $0 (cannot be negative)</t>
        </is>
      </c>
      <c r="D47" s="10">
        <f>D31</f>
        <v/>
      </c>
      <c r="E47" s="173">
        <f>IF(D47&gt;=0,"✓ OK","✗ NEGATIVE BASIS ERROR")</f>
        <v/>
      </c>
    </row>
    <row r="48" ht="15" customHeight="1" s="143">
      <c r="B48" s="173" t="inlineStr">
        <is>
          <t>Debt basis ≥ $0 (cannot be negative)</t>
        </is>
      </c>
      <c r="D48" s="10">
        <f>D40</f>
        <v/>
      </c>
      <c r="E48" s="173">
        <f>IF(D48&gt;=0,"✓ OK","✗ NEGATIVE BASIS ERROR")</f>
        <v/>
      </c>
    </row>
    <row r="49" ht="15" customHeight="1" s="143">
      <c r="B49" s="173" t="inlineStr">
        <is>
          <t>Distributions within basis? (Ln 11 ≤ Ln 10)</t>
        </is>
      </c>
      <c r="D49" s="10">
        <f>D20-D18</f>
        <v/>
      </c>
      <c r="E49" s="173">
        <f>IF(D49&lt;=0,"✓ OK - within basis","⚠ EXCESS = cap gain $"&amp;TEXT(D49,"#,##0"))</f>
        <v/>
      </c>
    </row>
    <row r="50" ht="15" customHeight="1" s="143">
      <c r="B50" s="173" t="inlineStr">
        <is>
          <t>Distributions = Sch K allocation (0%)</t>
        </is>
      </c>
      <c r="D50" s="10">
        <f>D20-'Schedule K'!G59</f>
        <v/>
      </c>
      <c r="E50" s="173">
        <f>IF(D50=0,"✓ TIES","✗ OFF")</f>
        <v/>
      </c>
    </row>
    <row r="51" ht="15" customHeight="1" s="143">
      <c r="B51" s="173" t="inlineStr">
        <is>
          <t>Nondeductible expenses = Sch K allocation (0%)</t>
        </is>
      </c>
      <c r="D51" s="10">
        <f>D24-'Schedule K'!G58</f>
        <v/>
      </c>
      <c r="E51" s="173">
        <f>IF(D51=0,"✓ TIES","✗ OFF")</f>
        <v/>
      </c>
    </row>
    <row r="52" ht="15" customHeight="1" s="143"/>
    <row r="53" ht="15" customHeight="1" s="143"/>
    <row r="54" ht="15" customHeight="1" s="143">
      <c r="A54" s="173" t="inlineStr">
        <is>
          <t>TEMPLATE NOTES:</t>
        </is>
      </c>
    </row>
    <row r="55" ht="27.75" customHeight="1" s="143">
      <c r="A55" s="167" t="inlineStr">
        <is>
          <t>• Beginning basis (Ln 1) MUST match prior-year 7203 Line 20 (stock) exactly. IRS compares year-over-year. If first year of S election, use initial stock cost basis.</t>
        </is>
      </c>
    </row>
    <row r="56" ht="27.75" customHeight="1" s="143">
      <c r="A56" s="172" t="inlineStr">
        <is>
          <t>• ORDER OF BASIS ADJUSTMENTS MATTERS (§1367): 1st: Increase for income items → 2nd: Decrease for distributions → 3rd: Decrease for nondeductible → 4th: Decrease for losses/deductions.</t>
        </is>
      </c>
    </row>
    <row r="57" ht="27.75" customHeight="1" s="143">
      <c r="A57" s="172" t="inlineStr">
        <is>
          <t>• Suspended losses from Line 19 carry forward indefinitely and are allowed when the shareholder gets additional basis (new contributions, future income allocations, new loans to corp).</t>
        </is>
      </c>
    </row>
    <row r="58" ht="27.75" customHeight="1" s="143">
      <c r="A58" s="172" t="inlineStr">
        <is>
          <t>• At-risk rules (§465) and passive activity rules (§469) apply AFTER basis limitations. A loss that passes basis may still be limited by at-risk or passive activity rules at the SH level.</t>
        </is>
      </c>
    </row>
  </sheetData>
  <mergeCells count="7">
    <mergeCell ref="B34:G34"/>
    <mergeCell ref="A58:G58"/>
    <mergeCell ref="A56:G56"/>
    <mergeCell ref="A55:G55"/>
    <mergeCell ref="A54:G54"/>
    <mergeCell ref="A57:G57"/>
    <mergeCell ref="A46:G46"/>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808080"/>
    <outlinePr summaryBelow="1" summaryRight="1"/>
    <pageSetUpPr/>
  </sheetPr>
  <dimension ref="A1:H48"/>
  <sheetViews>
    <sheetView zoomScaleNormal="100" workbookViewId="0">
      <pane ySplit="5" topLeftCell="A6" activePane="bottomLeft" state="frozen"/>
      <selection pane="bottomLeft" activeCell="C9" sqref="C9"/>
    </sheetView>
  </sheetViews>
  <sheetFormatPr baseColWidth="8" defaultColWidth="8.7109375" defaultRowHeight="15"/>
  <cols>
    <col width="5" customWidth="1" style="143" min="1" max="1"/>
    <col width="42" customWidth="1" style="143" min="2" max="2"/>
    <col width="18" customWidth="1" style="143" min="3" max="3"/>
    <col width="14" customWidth="1" style="143" min="4" max="4"/>
    <col width="42" customWidth="1" style="143" min="5" max="5"/>
    <col width="28" customWidth="1" style="143" min="6" max="7"/>
    <col width="20" customWidth="1" style="143" min="8" max="8"/>
  </cols>
  <sheetData>
    <row r="1" ht="17.25" customHeight="1" s="143">
      <c r="A1" s="179" t="inlineStr">
        <is>
          <t>[ENTITY NAME] — Tax Strategy Inputs</t>
        </is>
      </c>
    </row>
    <row r="2" ht="15" customHeight="1" s="143">
      <c r="A2" s="168" t="inlineStr">
        <is>
          <t>Yellow cells = INPUT. Type the dollar amount. It auto-flows to the AJE tab and WTB. Blue font = you enter this. Black = formula/auto.</t>
        </is>
      </c>
    </row>
    <row r="3" ht="27.75" customHeight="1" s="143">
      <c r="A3" s="167" t="inlineStr">
        <is>
          <t>M-1 ADJUSTMENTS do NOT adjust client books. They only create the M-1 addback. Book stays at the PBC amount — the tax return just doesn't deduct it.</t>
        </is>
      </c>
    </row>
    <row r="4" ht="15" customHeight="1" s="143"/>
    <row r="5" ht="37.5" customHeight="1" s="143">
      <c r="A5" s="18" t="inlineStr">
        <is>
          <t>#</t>
        </is>
      </c>
      <c r="B5" s="18" t="inlineStr">
        <is>
          <t>Adjustment Description</t>
        </is>
      </c>
      <c r="C5" s="18" t="inlineStr">
        <is>
          <t>INPUT
Amount ($)</t>
        </is>
      </c>
      <c r="D5" s="18" t="inlineStr">
        <is>
          <t>Auto / Calc</t>
        </is>
      </c>
      <c r="E5" s="18" t="inlineStr">
        <is>
          <t>What This Does / How It Works</t>
        </is>
      </c>
      <c r="F5" s="18" t="inlineStr">
        <is>
          <t>Flows To → AJE</t>
        </is>
      </c>
      <c r="G5" s="18" t="inlineStr">
        <is>
          <t>Flows To → WTB</t>
        </is>
      </c>
      <c r="H5" s="18" t="inlineStr">
        <is>
          <t>Type</t>
        </is>
      </c>
    </row>
    <row r="6" ht="21.75" customHeight="1" s="143">
      <c r="A6" s="176" t="inlineStr">
        <is>
          <t>SECTION 1: SCHEDULE K RECLASSIFICATIONS — Remove from OBI, Report on Sch K Separately</t>
        </is>
      </c>
      <c r="B6" s="177" t="n"/>
      <c r="C6" s="177" t="n"/>
      <c r="D6" s="177" t="n"/>
      <c r="E6" s="177" t="n"/>
      <c r="F6" s="177" t="n"/>
      <c r="G6" s="177" t="n"/>
      <c r="H6" s="178" t="n"/>
    </row>
    <row r="7" ht="49.5" customHeight="1" s="143">
      <c r="A7" s="19" t="inlineStr">
        <is>
          <t>1</t>
        </is>
      </c>
      <c r="B7" s="20" t="inlineStr">
        <is>
          <t>Equipment Rental Income
(Gross — remove from OBI → K Ln 3a)</t>
        </is>
      </c>
      <c r="C7" s="21" t="n"/>
      <c r="D7" s="22">
        <f>'P&amp;L'!B9</f>
        <v/>
      </c>
      <c r="E7" s="23" t="inlineStr">
        <is>
          <t>Removes rental income from Pg 1 OBI. Reports separately on Sch K Ln 3a. Input = $0 if no rental activity. Auto-pulls from PBC if left blank.</t>
        </is>
      </c>
      <c r="F7" s="23" t="inlineStr">
        <is>
          <t>AJE-01 (reclassification)</t>
        </is>
      </c>
      <c r="G7" s="23" t="inlineStr">
        <is>
          <t>WTB r66 Col C
WTB r121 Col C (expenses)</t>
        </is>
      </c>
      <c r="H7" s="24" t="inlineStr">
        <is>
          <t>Sch K Reclass</t>
        </is>
      </c>
    </row>
    <row r="8" ht="39.75" customHeight="1" s="143">
      <c r="A8" s="25" t="inlineStr">
        <is>
          <t>2</t>
        </is>
      </c>
      <c r="B8" s="26" t="inlineStr">
        <is>
          <t>Rental Activity Expenses
(Goes to K Ln 3b — only if rental income above)</t>
        </is>
      </c>
      <c r="C8" s="199" t="n"/>
      <c r="D8" s="27" t="n"/>
      <c r="E8" s="28" t="inlineStr">
        <is>
          <t>Expenses related to the rental activity. Separately stated on K Ln 3b. Enter as positive number.</t>
        </is>
      </c>
      <c r="F8" s="28" t="inlineStr">
        <is>
          <t>AJE-01 (part of rental)</t>
        </is>
      </c>
      <c r="G8" s="28" t="inlineStr">
        <is>
          <t>WTB r121 Col C</t>
        </is>
      </c>
      <c r="H8" s="29" t="inlineStr">
        <is>
          <t>Sch K Reclass</t>
        </is>
      </c>
    </row>
    <row r="9" ht="39.75" customHeight="1" s="143">
      <c r="A9" s="19" t="inlineStr">
        <is>
          <t>3</t>
        </is>
      </c>
      <c r="B9" s="20" t="inlineStr">
        <is>
          <t>Interest Income (Bank)
(Remove from OBI → K Ln 4)</t>
        </is>
      </c>
      <c r="C9" s="21" t="n"/>
      <c r="D9" s="22">
        <f>'P&amp;L'!B53</f>
        <v/>
      </c>
      <c r="E9" s="23" t="inlineStr">
        <is>
          <t>Removes bank interest from Pg 1 OBI. Reports on Sch K Ln 4. Auto-pulls from PBC.</t>
        </is>
      </c>
      <c r="F9" s="23" t="inlineStr">
        <is>
          <t>AJE-02</t>
        </is>
      </c>
      <c r="G9" s="23" t="inlineStr">
        <is>
          <t>WTB r68 Col C</t>
        </is>
      </c>
      <c r="H9" s="24" t="inlineStr">
        <is>
          <t>Sch K Reclass</t>
        </is>
      </c>
    </row>
    <row r="10" ht="39.75" customHeight="1" s="143">
      <c r="A10" s="25" t="inlineStr">
        <is>
          <t>4</t>
        </is>
      </c>
      <c r="B10" s="26" t="inlineStr">
        <is>
          <t>Dividend Income (Ordinary)
(Remove from OBI → K Ln 5a)</t>
        </is>
      </c>
      <c r="C10" s="21" t="n"/>
      <c r="D10" s="30">
        <f>'P&amp;L'!B54</f>
        <v/>
      </c>
      <c r="E10" s="28" t="inlineStr">
        <is>
          <t>Removes dividends from Pg 1 OBI. Reports on Sch K Ln 5a/5b. Need 1099-DIV Box 1b for qualified portion.</t>
        </is>
      </c>
      <c r="F10" s="28" t="inlineStr">
        <is>
          <t>AJE-03</t>
        </is>
      </c>
      <c r="G10" s="28" t="inlineStr">
        <is>
          <t>WTB r69 Col C</t>
        </is>
      </c>
      <c r="H10" s="29" t="inlineStr">
        <is>
          <t>Sch K Reclass</t>
        </is>
      </c>
    </row>
    <row r="11" ht="39.75" customHeight="1" s="143">
      <c r="A11" s="19" t="inlineStr">
        <is>
          <t>4a</t>
        </is>
      </c>
      <c r="B11" s="20" t="inlineStr">
        <is>
          <t>Qualified Dividends
(Subset of #4 — for K Ln 5b)</t>
        </is>
      </c>
      <c r="C11" s="199" t="n"/>
      <c r="D11" s="31" t="n"/>
      <c r="E11" s="23" t="inlineStr">
        <is>
          <t>Subset of total dividends that are qualified. From 1099-DIV Box 1b. Does NOT change the total — just tells Sch K the qualified portion.</t>
        </is>
      </c>
      <c r="F11" s="23" t="inlineStr">
        <is>
          <t>AJE-03 (detail)</t>
        </is>
      </c>
      <c r="G11" s="23" t="inlineStr">
        <is>
          <t>Schedule K Ln 5b</t>
        </is>
      </c>
      <c r="H11" s="24" t="inlineStr">
        <is>
          <t>Info Only</t>
        </is>
      </c>
    </row>
    <row r="12" ht="39.75" customHeight="1" s="143">
      <c r="A12" s="25" t="inlineStr">
        <is>
          <t>5</t>
        </is>
      </c>
      <c r="B12" s="26" t="inlineStr">
        <is>
          <t>Capital Gain — Stock Sales (LTCG)
(Remove from OBI → K Ln 8a)</t>
        </is>
      </c>
      <c r="C12" s="21" t="n"/>
      <c r="D12" s="30">
        <f>'P&amp;L'!B56</f>
        <v/>
      </c>
      <c r="E12" s="28" t="inlineStr">
        <is>
          <t>Removes LTCG from Pg 1. Reports on Sch K Ln 8a via Sch D/8949. Auto-pulls from PBC.</t>
        </is>
      </c>
      <c r="F12" s="28" t="inlineStr">
        <is>
          <t>AJE-04</t>
        </is>
      </c>
      <c r="G12" s="28" t="inlineStr">
        <is>
          <t>WTB r70 Col C</t>
        </is>
      </c>
      <c r="H12" s="29" t="inlineStr">
        <is>
          <t>Sch K Reclass</t>
        </is>
      </c>
    </row>
    <row r="13" ht="49.5" customHeight="1" s="143">
      <c r="A13" s="19" t="inlineStr">
        <is>
          <t>6</t>
        </is>
      </c>
      <c r="B13" s="20" t="inlineStr">
        <is>
          <t>Gain on Sale of Equipment
(Split: §1245 recapture stays Pg 1, §1231 → K Ln 9)</t>
        </is>
      </c>
      <c r="C13" s="21" t="n"/>
      <c r="D13" s="22">
        <f>'P&amp;L'!B57</f>
        <v/>
      </c>
      <c r="E13" s="23" t="inlineStr">
        <is>
          <t>Total gain auto-pulls. §1245 recapture portion stays on Pg 1 Ln 4. §1231 portion goes to K Ln 9. Usually need to split.</t>
        </is>
      </c>
      <c r="F13" s="23" t="inlineStr">
        <is>
          <t>AJE-05</t>
        </is>
      </c>
      <c r="G13" s="23" t="inlineStr">
        <is>
          <t>WTB r71 Col C</t>
        </is>
      </c>
      <c r="H13" s="24" t="inlineStr">
        <is>
          <t>Sch K Reclass</t>
        </is>
      </c>
    </row>
    <row r="14" ht="39.75" customHeight="1" s="143">
      <c r="A14" s="25" t="inlineStr">
        <is>
          <t>6a</t>
        </is>
      </c>
      <c r="B14" s="26" t="inlineStr">
        <is>
          <t>§1231 Gain Portion
(The part that goes to K Ln 9 — enter here)</t>
        </is>
      </c>
      <c r="C14" s="21" t="n"/>
      <c r="D14" s="27" t="n"/>
      <c r="E14" s="28" t="inlineStr">
        <is>
          <t>Enter just the §1231 portion. The rest (§1245 recapture) stays on Pg 1. This drives the Col C adjustment on WTB r71.</t>
        </is>
      </c>
      <c r="F14" s="28" t="inlineStr">
        <is>
          <t>AJE-05 (§1231 split)</t>
        </is>
      </c>
      <c r="G14" s="28" t="inlineStr">
        <is>
          <t>WTB r71 Col C (partial)</t>
        </is>
      </c>
      <c r="H14" s="29" t="inlineStr">
        <is>
          <t>Sch K Reclass</t>
        </is>
      </c>
    </row>
    <row r="15" ht="39.75" customHeight="1" s="143">
      <c r="A15" s="19" t="inlineStr">
        <is>
          <t>7</t>
        </is>
      </c>
      <c r="B15" s="20" t="inlineStr">
        <is>
          <t>Tax-Exempt Muni Bond Interest
(Remove from income → K Ln 16a)</t>
        </is>
      </c>
      <c r="C15" s="21" t="n"/>
      <c r="D15" s="22">
        <f>'P&amp;L'!B60</f>
        <v/>
      </c>
      <c r="E15" s="23" t="inlineStr">
        <is>
          <t>Removes tax-exempt interest from income. Not taxable. Reports on K Ln 16a. Also hits M-1 Ln 5a and M-2 → OAA (not AAA).</t>
        </is>
      </c>
      <c r="F15" s="23" t="inlineStr">
        <is>
          <t>AJE-17</t>
        </is>
      </c>
      <c r="G15" s="23" t="inlineStr">
        <is>
          <t>WTB r72 Col C + Col F</t>
        </is>
      </c>
      <c r="H15" s="24" t="inlineStr">
        <is>
          <t>Sch K + M-1</t>
        </is>
      </c>
    </row>
    <row r="16" ht="39.75" customHeight="1" s="143">
      <c r="A16" s="25" t="inlineStr">
        <is>
          <t>8</t>
        </is>
      </c>
      <c r="B16" s="26" t="inlineStr">
        <is>
          <t>Unrealized Gain on Investments
(Book only — remove entirely, not realized for tax)</t>
        </is>
      </c>
      <c r="C16" s="21" t="n"/>
      <c r="D16" s="30">
        <f>'P&amp;L'!B61</f>
        <v/>
      </c>
      <c r="E16" s="28" t="inlineStr">
        <is>
          <t>Book has unrealized gain; tax doesn't recognize until sold. Remove entirely. M-1 Ln 5b.</t>
        </is>
      </c>
      <c r="F16" s="28" t="inlineStr">
        <is>
          <t>AJE-18</t>
        </is>
      </c>
      <c r="G16" s="28" t="inlineStr">
        <is>
          <t>WTB r73 Col C + Col F</t>
        </is>
      </c>
      <c r="H16" s="29" t="inlineStr">
        <is>
          <t>M-1 Adj</t>
        </is>
      </c>
    </row>
    <row r="17" ht="39.75" customHeight="1" s="143">
      <c r="A17" s="19" t="inlineStr">
        <is>
          <t>9</t>
        </is>
      </c>
      <c r="B17" s="20" t="inlineStr">
        <is>
          <t>Charitable Contributions
(Remove from Pg 1 → separately state on K Ln 12a)</t>
        </is>
      </c>
      <c r="C17" s="21" t="n"/>
      <c r="D17" s="22">
        <f>'P&amp;L'!B45</f>
        <v/>
      </c>
      <c r="E17" s="23" t="inlineStr">
        <is>
          <t>Charity is NOT deductible on entity Pg 1. Separately stated on K Ln 12a, SH deducts on personal Sch A.</t>
        </is>
      </c>
      <c r="F17" s="23" t="inlineStr">
        <is>
          <t>AJE-09</t>
        </is>
      </c>
      <c r="G17" s="23" t="inlineStr">
        <is>
          <t>WTB r114 Col C + Col F</t>
        </is>
      </c>
      <c r="H17" s="24" t="inlineStr">
        <is>
          <t>Sch K + M-1</t>
        </is>
      </c>
    </row>
    <row r="18" ht="15" customHeight="1" s="143"/>
    <row r="19" ht="21.75" customHeight="1" s="143">
      <c r="A19" s="176" t="inlineStr">
        <is>
          <t>SECTION 2: M-1 NONDEDUCTIBLE EXPENSES — Do NOT Adjust Books. Tax Just Doesn't Deduct These.</t>
        </is>
      </c>
      <c r="B19" s="177" t="n"/>
      <c r="C19" s="177" t="n"/>
      <c r="D19" s="177" t="n"/>
      <c r="E19" s="177" t="n"/>
      <c r="F19" s="177" t="n"/>
      <c r="G19" s="177" t="n"/>
      <c r="H19" s="178" t="n"/>
    </row>
    <row r="20" ht="49.5" customHeight="1" s="143">
      <c r="A20" s="19" t="inlineStr">
        <is>
          <t>10</t>
        </is>
      </c>
      <c r="B20" s="20" t="inlineStr">
        <is>
          <t>&gt;2% SH Officer Health Insurance
(Remove from Pg 1 deductions → W-2 / K Ln 16c)</t>
        </is>
      </c>
      <c r="C20" s="21" t="n"/>
      <c r="D20" s="22">
        <f>'P&amp;L'!B24</f>
        <v/>
      </c>
      <c r="E20" s="23" t="inlineStr">
        <is>
          <t>Not a Pg 1 deduction — added to officer W-2 Box 1 instead. SH deducts on personal 1040 Ln 17. Auto-pulls PBC. This IS a Col C adj (removes from deductions) AND M-1.</t>
        </is>
      </c>
      <c r="F20" s="23" t="inlineStr">
        <is>
          <t>AJE-06</t>
        </is>
      </c>
      <c r="G20" s="23" t="inlineStr">
        <is>
          <t>WTB r91 Col C + Col F</t>
        </is>
      </c>
      <c r="H20" s="24" t="inlineStr">
        <is>
          <t>M-1 + Sch K</t>
        </is>
      </c>
    </row>
    <row r="21" ht="49.5" customHeight="1" s="143">
      <c r="A21" s="19" t="inlineStr">
        <is>
          <t>11</t>
        </is>
      </c>
      <c r="B21" s="20" t="inlineStr">
        <is>
          <t>Business Meals — 50% Nondeductible Portion
(Book has full amount, tax only deducts 50%)</t>
        </is>
      </c>
      <c r="C21" s="21" t="n"/>
      <c r="D21" s="22">
        <f>'P&amp;L'!B32*0.5</f>
        <v/>
      </c>
      <c r="E21" s="23" t="inlineStr">
        <is>
          <t>Auto-calculates 50% of PBC meals. The other 50% IS deductible on Pg 1 Ln 19. This amount = M-1 Ln 3c addback. Does NOT change books.</t>
        </is>
      </c>
      <c r="F21" s="23" t="inlineStr">
        <is>
          <t>AJE-07</t>
        </is>
      </c>
      <c r="G21" s="23" t="inlineStr">
        <is>
          <t>WTB r99 Col F only
(Col C stays blank)</t>
        </is>
      </c>
      <c r="H21" s="24" t="inlineStr">
        <is>
          <t>M-1 Only</t>
        </is>
      </c>
    </row>
    <row r="22" ht="49.5" customHeight="1" s="143">
      <c r="A22" s="25" t="inlineStr">
        <is>
          <t>12</t>
        </is>
      </c>
      <c r="B22" s="26" t="inlineStr">
        <is>
          <t>Entertainment — 100% Nondeductible
(On books but $0 on tax return)</t>
        </is>
      </c>
      <c r="C22" s="21" t="n"/>
      <c r="D22" s="30">
        <f>'P&amp;L'!B33</f>
        <v/>
      </c>
      <c r="E22" s="28" t="inlineStr">
        <is>
          <t>Full amount is nondeductible post-TCJA. M-1 Ln 3d addback. Col C removes from OBI (zero on return). Col F = M-1 addback.</t>
        </is>
      </c>
      <c r="F22" s="28" t="inlineStr">
        <is>
          <t>AJE-08</t>
        </is>
      </c>
      <c r="G22" s="28" t="inlineStr">
        <is>
          <t>WTB r100 Col C + Col F</t>
        </is>
      </c>
      <c r="H22" s="29" t="inlineStr">
        <is>
          <t>M-1 + Col C</t>
        </is>
      </c>
    </row>
    <row r="23" ht="34.5" customHeight="1" s="143">
      <c r="A23" s="19" t="inlineStr">
        <is>
          <t>13</t>
        </is>
      </c>
      <c r="B23" s="20" t="inlineStr">
        <is>
          <t>Political Contributions — 100% Nondeductible</t>
        </is>
      </c>
      <c r="C23" s="21" t="n"/>
      <c r="D23" s="22">
        <f>'P&amp;L'!B46</f>
        <v/>
      </c>
      <c r="E23" s="23" t="inlineStr">
        <is>
          <t>Always nondeductible. M-1 addback. Book stays, tax doesn't deduct.</t>
        </is>
      </c>
      <c r="F23" s="23" t="inlineStr">
        <is>
          <t>AJE-10</t>
        </is>
      </c>
      <c r="G23" s="23" t="inlineStr">
        <is>
          <t>WTB r115 Col F only</t>
        </is>
      </c>
      <c r="H23" s="24" t="inlineStr">
        <is>
          <t>M-1 Only</t>
        </is>
      </c>
    </row>
    <row r="24" ht="34.5" customHeight="1" s="143">
      <c r="A24" s="25" t="inlineStr">
        <is>
          <t>14</t>
        </is>
      </c>
      <c r="B24" s="26" t="inlineStr">
        <is>
          <t>Penalties &amp; Fines — 100% Nondeductible</t>
        </is>
      </c>
      <c r="C24" s="21" t="n"/>
      <c r="D24" s="30">
        <f>'P&amp;L'!B47</f>
        <v/>
      </c>
      <c r="E24" s="28" t="inlineStr">
        <is>
          <t>Nondeductible under §162(f). Check if any are restitution (may be deductible). M-1 addback.</t>
        </is>
      </c>
      <c r="F24" s="28" t="inlineStr">
        <is>
          <t>AJE-11</t>
        </is>
      </c>
      <c r="G24" s="28" t="inlineStr">
        <is>
          <t>WTB r116 Col F only</t>
        </is>
      </c>
      <c r="H24" s="29" t="inlineStr">
        <is>
          <t>M-1 Only</t>
        </is>
      </c>
    </row>
    <row r="25" ht="39.75" customHeight="1" s="143">
      <c r="A25" s="19" t="inlineStr">
        <is>
          <t>15</t>
        </is>
      </c>
      <c r="B25" s="20" t="inlineStr">
        <is>
          <t>Life Insurance Premiums (Corp Beneficiary)
— Nondeductible</t>
        </is>
      </c>
      <c r="C25" s="21" t="n"/>
      <c r="D25" s="22">
        <f>'P&amp;L'!B48</f>
        <v/>
      </c>
      <c r="E25" s="23" t="inlineStr">
        <is>
          <t>Nondeductible when corp is beneficiary. If SH is beneficiary, it's comp (different treatment). M-1 addback.</t>
        </is>
      </c>
      <c r="F25" s="23" t="inlineStr">
        <is>
          <t>AJE-12</t>
        </is>
      </c>
      <c r="G25" s="23" t="inlineStr">
        <is>
          <t>WTB r117 Col F only</t>
        </is>
      </c>
      <c r="H25" s="24" t="inlineStr">
        <is>
          <t>M-1 Only</t>
        </is>
      </c>
    </row>
    <row r="26" ht="39.75" customHeight="1" s="143">
      <c r="A26" s="25" t="inlineStr">
        <is>
          <t>16</t>
        </is>
      </c>
      <c r="B26" s="26" t="inlineStr">
        <is>
          <t>Club Dues (Country Club) — Nondeductible</t>
        </is>
      </c>
      <c r="C26" s="21" t="n"/>
      <c r="D26" s="30">
        <f>'P&amp;L'!B49</f>
        <v/>
      </c>
      <c r="E26" s="28" t="inlineStr">
        <is>
          <t>Always nondeductible. Meals at club ARE separately deductible at 50% — make sure client splits them out. M-1 addback.</t>
        </is>
      </c>
      <c r="F26" s="28" t="inlineStr">
        <is>
          <t>AJE-13</t>
        </is>
      </c>
      <c r="G26" s="28" t="inlineStr">
        <is>
          <t>WTB r118 Col F only</t>
        </is>
      </c>
      <c r="H26" s="29" t="inlineStr">
        <is>
          <t>M-1 Only</t>
        </is>
      </c>
    </row>
    <row r="27" ht="15" customHeight="1" s="143"/>
    <row r="28" ht="21.75" customHeight="1" s="143">
      <c r="A28" s="176" t="inlineStr">
        <is>
          <t>SECTION 3: DEPRECIATION — Remove Book Depreciation, Add Tax Depreciation (MACRS / §179)</t>
        </is>
      </c>
      <c r="B28" s="177" t="n"/>
      <c r="C28" s="177" t="n"/>
      <c r="D28" s="177" t="n"/>
      <c r="E28" s="177" t="n"/>
      <c r="F28" s="177" t="n"/>
      <c r="G28" s="177" t="n"/>
      <c r="H28" s="178" t="n"/>
    </row>
    <row r="29" ht="49.5" customHeight="1" s="143">
      <c r="A29" s="19" t="inlineStr">
        <is>
          <t>17</t>
        </is>
      </c>
      <c r="B29" s="20" t="inlineStr">
        <is>
          <t>Total Book Depreciation
(Auto-pulls from PBC — ALL book depr removed)</t>
        </is>
      </c>
      <c r="C29" s="21" t="n"/>
      <c r="D29" s="22">
        <f>'P&amp;L'!B38+'P&amp;L'!B39+'P&amp;L'!B40+'P&amp;L'!B41</f>
        <v/>
      </c>
      <c r="E29" s="23" t="inlineStr">
        <is>
          <t>Total of all book depreciation categories (vehicle + FF&amp;E + computers + leasehold). Entire amount removed from Pg 1 — replaced by tax depreciation. M-1 Ln 3a addback.</t>
        </is>
      </c>
      <c r="F29" s="23" t="inlineStr">
        <is>
          <t>AJE-14</t>
        </is>
      </c>
      <c r="G29" s="23" t="inlineStr">
        <is>
          <t>WTB r105-108 Col C
WTB Col F (M-1 addback)</t>
        </is>
      </c>
      <c r="H29" s="24" t="inlineStr">
        <is>
          <t>Book→Tax</t>
        </is>
      </c>
    </row>
    <row r="30" ht="49.5" customHeight="1" s="143">
      <c r="A30" s="25" t="inlineStr">
        <is>
          <t>18</t>
        </is>
      </c>
      <c r="B30" s="26" t="inlineStr">
        <is>
          <t>Tax Depreciation — MACRS/Bonus
(From Form 4562 — ENTER FROM TAX SOFTWARE)</t>
        </is>
      </c>
      <c r="C30" s="199" t="n"/>
      <c r="D30" s="27" t="n"/>
      <c r="E30" s="28" t="inlineStr">
        <is>
          <t>Enter the total tax depreciation from your tax software (CCH, Lacerte, UltraTax). This is NOT on the client books. Goes to Pg 1 Ln 14. M-1 Ln 6a.</t>
        </is>
      </c>
      <c r="F30" s="28" t="inlineStr">
        <is>
          <t>AJE-15</t>
        </is>
      </c>
      <c r="G30" s="28" t="inlineStr">
        <is>
          <t>WTB r109 Col D
WTB Col F (M-1 deduction)</t>
        </is>
      </c>
      <c r="H30" s="29" t="inlineStr">
        <is>
          <t>Tax Only</t>
        </is>
      </c>
    </row>
    <row r="31" ht="45" customHeight="1" s="143">
      <c r="A31" s="19" t="inlineStr">
        <is>
          <t>19</t>
        </is>
      </c>
      <c r="B31" s="20" t="inlineStr">
        <is>
          <t>§179 Deduction
(From Form 4562 Part I — ENTER FROM TAX SOFTWARE)</t>
        </is>
      </c>
      <c r="C31" s="199" t="n"/>
      <c r="D31" s="31" t="n"/>
      <c r="E31" s="23" t="inlineStr">
        <is>
          <t>Enter §179 amount from tax software. Not on client books. Goes to K Ln 11. M-1 Ln 6b.</t>
        </is>
      </c>
      <c r="F31" s="23" t="inlineStr">
        <is>
          <t>AJE-16</t>
        </is>
      </c>
      <c r="G31" s="23" t="inlineStr">
        <is>
          <t>WTB r110 Col D
WTB Col F (M-1 deduction)</t>
        </is>
      </c>
      <c r="H31" s="24" t="inlineStr">
        <is>
          <t>Tax Only</t>
        </is>
      </c>
    </row>
    <row r="32" ht="15" customHeight="1" s="143"/>
    <row r="33" ht="21.75" customHeight="1" s="143">
      <c r="A33" s="176" t="inlineStr">
        <is>
          <t>SECTION 4: TAX STRATEGY ADJUSTMENTS — Additional Entity-Level Deductions / Changes</t>
        </is>
      </c>
      <c r="B33" s="177" t="n"/>
      <c r="C33" s="177" t="n"/>
      <c r="D33" s="177" t="n"/>
      <c r="E33" s="177" t="n"/>
      <c r="F33" s="177" t="n"/>
      <c r="G33" s="177" t="n"/>
      <c r="H33" s="178" t="n"/>
    </row>
    <row r="34" ht="54.75" customHeight="1" s="143">
      <c r="A34" s="19" t="inlineStr">
        <is>
          <t>20</t>
        </is>
      </c>
      <c r="B34" s="20" t="inlineStr">
        <is>
          <t>Augusta Rule — §280A(g) Rent Payment
(Entity pays SH for home rental ≤14 days)</t>
        </is>
      </c>
      <c r="C34" s="199" t="n"/>
      <c r="D34" s="31" t="n"/>
      <c r="E34" s="23" t="inlineStr">
        <is>
          <t>Enter total rent paid to SH. FMV × # of days (max 14). Entity deducts on Pg 1 Ln 18. SH gets tax-free income. No M-1 adj needed — deductible on books AND return.</t>
        </is>
      </c>
      <c r="F34" s="23" t="inlineStr">
        <is>
          <t>New AJE (auto-generated)</t>
        </is>
      </c>
      <c r="G34" s="23" t="inlineStr">
        <is>
          <t>WTB: New deduction
Reduces OBI → K Ln 1
Sch L: Lower cash</t>
        </is>
      </c>
      <c r="H34" s="24" t="inlineStr">
        <is>
          <t>Entity Deduction</t>
        </is>
      </c>
    </row>
    <row r="35" ht="49.5" customHeight="1" s="143">
      <c r="A35" s="25" t="inlineStr">
        <is>
          <t>21</t>
        </is>
      </c>
      <c r="B35" s="26" t="inlineStr">
        <is>
          <t>Home Office — Accountable Plan Reimbursement
(Entity reimburses SH for home office expenses)</t>
        </is>
      </c>
      <c r="C35" s="199" t="n"/>
      <c r="D35" s="27" t="n"/>
      <c r="E35" s="28" t="inlineStr">
        <is>
          <t>Enter total reimbursement amount. Based on actual expenses × office %. Must have written Accountable Plan. Entity deducts on Pg 1 Ln 18. Not on W-2.</t>
        </is>
      </c>
      <c r="F35" s="28" t="inlineStr">
        <is>
          <t>New AJE (auto-generated)</t>
        </is>
      </c>
      <c r="G35" s="28" t="inlineStr">
        <is>
          <t>WTB: New deduction
Reduces OBI → K Ln 1</t>
        </is>
      </c>
      <c r="H35" s="29" t="inlineStr">
        <is>
          <t>Entity Deduction</t>
        </is>
      </c>
    </row>
    <row r="36" ht="49.5" customHeight="1" s="143">
      <c r="A36" s="19" t="inlineStr">
        <is>
          <t>22</t>
        </is>
      </c>
      <c r="B36" s="20" t="inlineStr">
        <is>
          <t>Kids on Payroll — Child Wages
(Wages paid to owner's children for real work)</t>
        </is>
      </c>
      <c r="C36" s="199" t="n"/>
      <c r="D36" s="31" t="n"/>
      <c r="E36" s="23" t="inlineStr">
        <is>
          <t>Enter total child wages. Goes to Pg 1 Ln 8 (salaries). S-Corp must pay FICA on these — FICA exemption only for sole props. Reduces OBI.</t>
        </is>
      </c>
      <c r="F36" s="23" t="inlineStr">
        <is>
          <t>New AJE (auto-generated)</t>
        </is>
      </c>
      <c r="G36" s="23" t="inlineStr">
        <is>
          <t>WTB: Add to wages
Reduces OBI → K Ln 1</t>
        </is>
      </c>
      <c r="H36" s="24" t="inlineStr">
        <is>
          <t>Entity Deduction</t>
        </is>
      </c>
    </row>
    <row r="37" ht="49.5" customHeight="1" s="143">
      <c r="A37" s="25" t="inlineStr">
        <is>
          <t>23</t>
        </is>
      </c>
      <c r="B37" s="26" t="inlineStr">
        <is>
          <t>Officer Salary Adjustment
(Increase/decrease from PBC amount — enter CHANGE only)</t>
        </is>
      </c>
      <c r="C37" s="199" t="n"/>
      <c r="D37" s="27" t="n"/>
      <c r="E37" s="28" t="inlineStr">
        <is>
          <t>Enter the CHANGE amount (positive = increase salary, negative = decrease). If PBC salary is already correct, leave at $0. Adjusts Pg 1 Ln 7.</t>
        </is>
      </c>
      <c r="F37" s="28" t="inlineStr">
        <is>
          <t>New AJE (if nonzero)</t>
        </is>
      </c>
      <c r="G37" s="28" t="inlineStr">
        <is>
          <t>WTB r85: Officer comp adj
Changes OBI, FICA, distributions</t>
        </is>
      </c>
      <c r="H37" s="29" t="inlineStr">
        <is>
          <t>Entity Adj</t>
        </is>
      </c>
    </row>
    <row r="38" ht="45" customHeight="1" s="143">
      <c r="A38" s="19" t="inlineStr">
        <is>
          <t>24</t>
        </is>
      </c>
      <c r="B38" s="20" t="inlineStr">
        <is>
          <t>Retirement Plan — Additional Employer Contribution
(Amount NOT already on PBC books)</t>
        </is>
      </c>
      <c r="C38" s="199" t="n"/>
      <c r="D38" s="31" t="n"/>
      <c r="E38" s="23" t="inlineStr">
        <is>
          <t>Enter additional employer retirement contribution not on PBC. If PBC already has the full contribution, leave at $0. Goes to Pg 1 Ln 17.</t>
        </is>
      </c>
      <c r="F38" s="23" t="inlineStr">
        <is>
          <t>New AJE (if nonzero)</t>
        </is>
      </c>
      <c r="G38" s="23" t="inlineStr">
        <is>
          <t>WTB: Add to Pg 1 Ln 17
Reduces OBI</t>
        </is>
      </c>
      <c r="H38" s="24" t="inlineStr">
        <is>
          <t>Entity Deduction</t>
        </is>
      </c>
    </row>
    <row r="39" ht="45" customHeight="1" s="143">
      <c r="A39" s="25" t="inlineStr">
        <is>
          <t>25</t>
        </is>
      </c>
      <c r="B39" s="26" t="inlineStr">
        <is>
          <t>Accountable Plan — Other Reimbursements
(Cell phone, vehicle, education, travel)</t>
        </is>
      </c>
      <c r="C39" s="199" t="n"/>
      <c r="D39" s="27" t="n"/>
      <c r="E39" s="28" t="inlineStr">
        <is>
          <t>Enter total of other Accountable Plan reimbursements (non-home-office). Entity deducts Pg 1 Ln 18. Tax-free to SH.</t>
        </is>
      </c>
      <c r="F39" s="28" t="inlineStr">
        <is>
          <t>New AJE (if nonzero)</t>
        </is>
      </c>
      <c r="G39" s="28" t="inlineStr">
        <is>
          <t>WTB: New deduction
Reduces OBI</t>
        </is>
      </c>
      <c r="H39" s="29" t="inlineStr">
        <is>
          <t>Entity Deduction</t>
        </is>
      </c>
    </row>
    <row r="40" ht="15" customHeight="1" s="143"/>
    <row r="41" ht="15" customHeight="1" s="143">
      <c r="A41" s="176" t="inlineStr">
        <is>
          <t>TOTALS &amp; FLOW CHECK</t>
        </is>
      </c>
      <c r="B41" s="177" t="n"/>
      <c r="C41" s="177" t="n"/>
      <c r="D41" s="177" t="n"/>
      <c r="E41" s="177" t="n"/>
      <c r="F41" s="177" t="n"/>
      <c r="G41" s="177" t="n"/>
      <c r="H41" s="178" t="n"/>
    </row>
    <row r="42" ht="15" customHeight="1" s="143">
      <c r="B42" s="173" t="inlineStr">
        <is>
          <t>Total Sch K Reclassifications (Section 1)</t>
        </is>
      </c>
      <c r="C42" s="32">
        <f>D7+C8+D9+D10+D12+D13+D15+D16+D17</f>
        <v/>
      </c>
    </row>
    <row r="43" ht="15" customHeight="1" s="143">
      <c r="B43" s="173" t="inlineStr">
        <is>
          <t>Total M-1 Nondeductible Addbacks (Section 2)</t>
        </is>
      </c>
      <c r="C43" s="32">
        <f>D20+D21+D22+D23+D24+D25+D26</f>
        <v/>
      </c>
    </row>
    <row r="44" ht="15" customHeight="1" s="143">
      <c r="B44" s="173" t="inlineStr">
        <is>
          <t>Total Depreciation Adjustment (Section 3)</t>
        </is>
      </c>
      <c r="C44" s="32">
        <f>D29-C30-C31</f>
        <v/>
      </c>
    </row>
    <row r="45" ht="15" customHeight="1" s="143">
      <c r="B45" s="173" t="inlineStr">
        <is>
          <t>Total Tax Strategy Additions (Section 4)</t>
        </is>
      </c>
      <c r="C45" s="32">
        <f>C34+C35+C36+C37+C38+C39</f>
        <v/>
      </c>
    </row>
    <row r="46" ht="15" customHeight="1" s="143"/>
    <row r="47" ht="34.5" customHeight="1" s="143">
      <c r="A47" s="172" t="inlineStr">
        <is>
          <t>HOW TO USE: Type amounts in the yellow INPUT cells (Col C). Items that auto-pull from PBC show the auto amount in Col D — override Col C if you need a different amount. Leave strategy inputs at $0 if not applicable to this client.</t>
        </is>
      </c>
    </row>
    <row r="48" ht="27.75" customHeight="1" s="143">
      <c r="A48" s="167" t="inlineStr">
        <is>
          <t>FOR TEMPLATE USE: When starting a new client, clear all yellow input cells. PBC auto-pulls will update when you replace the PBC tabs. Strategy amounts start at $0.</t>
        </is>
      </c>
    </row>
  </sheetData>
  <mergeCells count="10">
    <mergeCell ref="A48:H48"/>
    <mergeCell ref="A3:H3"/>
    <mergeCell ref="A2:H2"/>
    <mergeCell ref="A28:H28"/>
    <mergeCell ref="A41:H41"/>
    <mergeCell ref="A33:H33"/>
    <mergeCell ref="A19:H19"/>
    <mergeCell ref="A47:H47"/>
    <mergeCell ref="A1:H1"/>
    <mergeCell ref="A6:H6"/>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tabColor rgb="FF808080"/>
    <outlinePr summaryBelow="1" summaryRight="1"/>
    <pageSetUpPr/>
  </sheetPr>
  <dimension ref="A1:I45"/>
  <sheetViews>
    <sheetView zoomScaleNormal="100" workbookViewId="0">
      <pane ySplit="5" topLeftCell="A6" activePane="bottomLeft" state="frozen"/>
      <selection pane="bottomLeft" activeCell="A1" sqref="A1:I1"/>
    </sheetView>
  </sheetViews>
  <sheetFormatPr baseColWidth="8" defaultColWidth="8.7109375" defaultRowHeight="15"/>
  <cols>
    <col width="8" customWidth="1" style="143" min="1" max="1"/>
    <col width="42" customWidth="1" style="143" min="2" max="4"/>
    <col width="32" customWidth="1" style="143" min="5" max="5"/>
    <col width="24" customWidth="1" style="143" min="6" max="6"/>
    <col width="22" customWidth="1" style="143" min="7" max="7"/>
    <col width="38" customWidth="1" style="143" min="8" max="8"/>
    <col width="55" customWidth="1" style="143" min="9" max="9"/>
  </cols>
  <sheetData>
    <row r="1" ht="17.25" customHeight="1" s="143">
      <c r="A1" s="179" t="inlineStr">
        <is>
          <t>⛔ NOT APPLICABLE — Client Workbook</t>
        </is>
      </c>
    </row>
    <row r="2" ht="15" customHeight="1" s="143">
      <c r="A2" s="168" t="inlineStr">
        <is>
          <t>How each strategy flows through the 1120-S / 1065 workpapers. Blue = entity-level adjustment. Purple = individual/SH-level (not on entity return).</t>
        </is>
      </c>
    </row>
    <row r="3" ht="27.75" customHeight="1" s="143">
      <c r="A3" s="167" t="inlineStr">
        <is>
          <t>For strategies that are INDIVIDUAL-ONLY, the entity return has NO adjustment — but the preparer must still ensure proper documentation and K-1 reporting to support the SH's personal return.</t>
        </is>
      </c>
    </row>
    <row r="4" ht="15" customHeight="1" s="143"/>
    <row r="5" ht="48" customHeight="1" s="143">
      <c r="A5" s="18" t="inlineStr">
        <is>
          <t>#</t>
        </is>
      </c>
      <c r="B5" s="18" t="inlineStr">
        <is>
          <t>Strategy / Line Item</t>
        </is>
      </c>
      <c r="C5" s="18" t="inlineStr">
        <is>
          <t>Entity-Level Treatment
(1120-S / 1065)</t>
        </is>
      </c>
      <c r="D5" s="18" t="inlineStr">
        <is>
          <t>Individual / SH Treatment
(1040)</t>
        </is>
      </c>
      <c r="E5" s="18" t="inlineStr">
        <is>
          <t>Adjusting Entry
(DR / CR)</t>
        </is>
      </c>
      <c r="F5" s="18" t="inlineStr">
        <is>
          <t>Return Line / Form</t>
        </is>
      </c>
      <c r="G5" s="18" t="inlineStr">
        <is>
          <t>WTB / Workpaper
Link</t>
        </is>
      </c>
      <c r="H5" s="18" t="inlineStr">
        <is>
          <t>Documents Needed</t>
        </is>
      </c>
      <c r="I5" s="18" t="inlineStr">
        <is>
          <t>Notes / Risks / IRS Scrutiny</t>
        </is>
      </c>
    </row>
    <row r="6" ht="15" customHeight="1" s="143">
      <c r="A6" s="180" t="inlineStr">
        <is>
          <t>STRATEGY 1: AUGUSTA RULE — §280A(g) 14-Day Home Rental</t>
        </is>
      </c>
      <c r="B6" s="177" t="n"/>
      <c r="C6" s="177" t="n"/>
      <c r="D6" s="177" t="n"/>
      <c r="E6" s="177" t="n"/>
      <c r="F6" s="177" t="n"/>
      <c r="G6" s="177" t="n"/>
      <c r="H6" s="177" t="n"/>
      <c r="I6" s="178" t="n"/>
    </row>
    <row r="7" ht="129.75" customHeight="1" s="143">
      <c r="A7" s="20" t="inlineStr">
        <is>
          <t>1.1</t>
        </is>
      </c>
      <c r="B7" s="20" t="inlineStr">
        <is>
          <t>Overview: S-Corp rents SH's personal home for ≤14 days/year for legitimate business meetings. Corp deducts rent; SH receives tax-free income under §280A(g).</t>
        </is>
      </c>
      <c r="C7" s="40" t="inlineStr">
        <is>
          <t>ENTITY: Deductible business expense (rent). Reduces OBI on Pg 1. Flows through WTB as a deduction.</t>
        </is>
      </c>
      <c r="D7" s="20" t="inlineStr">
        <is>
          <t>INDIVIDUAL: Rental income is 100% TAX-FREE to SH. NOT reported on SH's 1040 at all. No Schedule E. No income inclusion anywhere.</t>
        </is>
      </c>
      <c r="E7" s="20" t="inlineStr">
        <is>
          <t>DR: Rent Expense
CR: Cash (paid to SH)</t>
        </is>
      </c>
      <c r="F7" s="20" t="inlineStr">
        <is>
          <t>Pg 1 Ln 18 (Other deductions)
or Pg 1 Ln 19</t>
        </is>
      </c>
      <c r="G7" s="20" t="inlineStr">
        <is>
          <t>WTB: Add new row in deductions
AJE tab: New AJE</t>
        </is>
      </c>
      <c r="H7" s="20" t="inlineStr">
        <is>
          <t>• Rental/lease agreement (written)
• FMV rental comp analysis (Zillow, VRBO, etc.)
• Meeting agendas for each rental day
• Meeting minutes / attendee list
• Calendar tracking ≤14 days
• Payment trace (check/wire)</t>
        </is>
      </c>
      <c r="I7" s="20" t="inlineStr">
        <is>
          <t>HIGH SCRUTINY. IRS watches this closely. Must be bona fide business meetings with real business purpose. FMV must be supportable — get 3 comparable rental comps. Cannot exceed 14 days or entire exclusion is lost. Sole proprietors CANNOT use this (need separate entity). Keep meticulous records.</t>
        </is>
      </c>
    </row>
    <row r="8" ht="109.5" customHeight="1" s="143">
      <c r="A8" s="26" t="inlineStr">
        <is>
          <t>1.2</t>
        </is>
      </c>
      <c r="B8" s="26" t="inlineStr">
        <is>
          <t>Entity AJE: Add rent expense to Pg 1 deductions</t>
        </is>
      </c>
      <c r="C8" s="40" t="inlineStr">
        <is>
          <t>New deduction on Pg 1. Reduces OBI. Flows to K Ln 1 (lower OBI = lower pass-through). No M-1 adjustment needed — this is a legitimate tax deduction that also hits the books.</t>
        </is>
      </c>
      <c r="D8" s="26" t="inlineStr">
        <is>
          <t>No effect. SH does NOT report the rental income anywhere on 1040. §280A(g) exclusion is automatic if ≤14 days.</t>
        </is>
      </c>
      <c r="E8" s="26" t="inlineStr">
        <is>
          <t>DR: 6950 · Augusta Rent
CR: 1000 · Cash
Amount: FMV × # days
(e.g., $500/day × 12 days = $6,000)</t>
        </is>
      </c>
      <c r="F8" s="26" t="inlineStr">
        <is>
          <t>Pg 1 Ln 18
K Ln 1 (reduced OBI)
7203 (lower basis increase)</t>
        </is>
      </c>
      <c r="G8" s="26" t="inlineStr">
        <is>
          <t>WTB: New row ~r119
No M-1 adj needed
K: Flows thru OBI
7203: Lower Ln 4</t>
        </is>
      </c>
      <c r="H8" s="26" t="inlineStr">
        <is>
          <t>Same as 1.1 above</t>
        </is>
      </c>
      <c r="I8" s="26" t="inlineStr">
        <is>
          <t>If client books the rent expense on their P&amp;L (QuickBooks), it flows naturally through PBC → WTB with no special adjustment. If NOT on books, add as an AJE. Tax savings = rent amount × SH marginal rate (both entity deduction AND tax-free income).</t>
        </is>
      </c>
    </row>
    <row r="9" ht="94.5" customHeight="1" s="143">
      <c r="A9" s="20" t="inlineStr">
        <is>
          <t>1.3</t>
        </is>
      </c>
      <c r="B9" s="20" t="inlineStr">
        <is>
          <t>Impact on M-1 / M-2 / Sch K / 7203</t>
        </is>
      </c>
      <c r="C9" s="20" t="inlineStr">
        <is>
          <t>M-1: NO adjustment (deductible on both books and return)
M-2: AAA decreases by the amount (lower OBI)
Sch K: Ln 1 OBI is lower
Sch L: Cash decreases, no other BS effect</t>
        </is>
      </c>
      <c r="D9" s="20" t="inlineStr">
        <is>
          <t>7203: SH stock basis increase is lower (lower OBI allocation)
But SH received cash = to rent, so net wealth is the same
SH does NOT report income → pure savings</t>
        </is>
      </c>
      <c r="E9" s="20" t="n"/>
      <c r="F9" s="20" t="n"/>
      <c r="G9" s="20" t="inlineStr">
        <is>
          <t>M-1: No adj
M-2: Lower AAA
K Ln 1: Lower
7203 Ln 4: Lower</t>
        </is>
      </c>
      <c r="H9" s="20" t="n"/>
      <c r="I9" s="20" t="inlineStr">
        <is>
          <t>Savings example: $6,000 rent × 37% bracket = $2,220 income tax saved + $6,000 entity deduction × ~30% = $1,800 = ~$4,020 total family savings. FICA savings too since OBI distributions avoid FICA.</t>
        </is>
      </c>
    </row>
    <row r="10" ht="15" customHeight="1" s="143">
      <c r="A10" s="180" t="inlineStr">
        <is>
          <t>STRATEGY 2: HOME OFFICE — Accountable Plan Reimbursement (§280A / §62(c))</t>
        </is>
      </c>
      <c r="B10" s="177" t="n"/>
      <c r="C10" s="177" t="n"/>
      <c r="D10" s="177" t="n"/>
      <c r="E10" s="177" t="n"/>
      <c r="F10" s="177" t="n"/>
      <c r="G10" s="177" t="n"/>
      <c r="H10" s="177" t="n"/>
      <c r="I10" s="178" t="n"/>
    </row>
    <row r="11" ht="129.75" customHeight="1" s="143">
      <c r="A11" s="20" t="inlineStr">
        <is>
          <t>2.1</t>
        </is>
      </c>
      <c r="B11" s="20" t="inlineStr">
        <is>
          <t>Overview: S-Corp reimburses SH-employee for home office expenses under an Accountable Plan. Corp deducts reimbursement; SH receives tax-free reimbursement (not income).</t>
        </is>
      </c>
      <c r="C11" s="40" t="inlineStr">
        <is>
          <t>ENTITY: Deductible expense under Accountable Plan (§62(c)). Reduces OBI on Pg 1. NOT wages — no payroll tax. Booked as "Office Expense" or "Accountable Plan Reimbursement."</t>
        </is>
      </c>
      <c r="D11" s="20" t="inlineStr">
        <is>
          <t>INDIVIDUAL: Tax-free reimbursement to SH. NOT reported on W-2. NOT income. SH must reduce personal Sch A mortgage interest &amp; property tax deductions by amounts reimbursed (no double-dip).</t>
        </is>
      </c>
      <c r="E11" s="20" t="inlineStr">
        <is>
          <t>DR: 6955 · Home Office Reimb
CR: 1000 · Cash
Based on actual expenses × office %
(e.g., 150 sf / 2,500 sf = 6%)</t>
        </is>
      </c>
      <c r="F11" s="20" t="inlineStr">
        <is>
          <t>Pg 1 Ln 18 (Other deductions)
or Pg 1 Ln 19
NOT on Form 8829</t>
        </is>
      </c>
      <c r="G11" s="20" t="inlineStr">
        <is>
          <t>WTB: New row ~r120
No M-1 adj needed
K: Flows thru OBI
7203: Lower Ln 4</t>
        </is>
      </c>
      <c r="H11" s="20" t="inlineStr">
        <is>
          <t>• Written Accountable Plan document
• Home office measurements (sq ft)
• Total home sq ft
• Expense receipts: mortgage int, prop tax, insurance, utilities, repairs, HOA, depreciation
• Expense report submitted to corp
• Reimbursement check/records</t>
        </is>
      </c>
      <c r="I11" s="20" t="inlineStr">
        <is>
          <t>Must be Accountable Plan (business purpose, substantiation, return excess). S-corp SHs CANNOT use Form 8829 or simplified method ($5/sf). Must use actual expense method. Savings often modest ($200-$350/yr per WCG CPAs) because mortgage int &amp; prop tax are already on Sch A. Bigger savings if renting (rent not on Sch A).</t>
        </is>
      </c>
    </row>
    <row r="12" ht="129.75" customHeight="1" s="143">
      <c r="A12" s="26" t="inlineStr">
        <is>
          <t>2.2</t>
        </is>
      </c>
      <c r="B12" s="26" t="inlineStr">
        <is>
          <t>Key requirements &amp; calculation</t>
        </is>
      </c>
      <c r="C12" s="26" t="inlineStr">
        <is>
          <t>Accountable Plan must be written and adopted by the board. Must meet 3 requirements:
1. Business connection
2. Adequate accounting (expense reports)
3. Return of excess amounts
Without this = taxable compensation.</t>
        </is>
      </c>
      <c r="D12" s="26" t="inlineStr">
        <is>
          <t>SH must have exclusive-use home office space. Must be principal place of business OR used for admin/management. Calculate: office sf ÷ total sf × eligible expenses. Reduce Sch A items accordingly.</t>
        </is>
      </c>
      <c r="E12" s="26" t="inlineStr">
        <is>
          <t>Example calculation:
150 sf ÷ 2,500 sf = 6%
Mortgage int: $20K × 6% = $1,200
Prop tax: $8K × 6% = $480
Insurance: $2K × 6% = $120
Utilities: $4K × 6% = $240
Depr: $10K × 6% = $600
Total reimb: $2,640</t>
        </is>
      </c>
      <c r="F12" s="26" t="inlineStr">
        <is>
          <t>Pg 1 deduction (entity)
SH: Reduce Sch A
by reimb'd amounts</t>
        </is>
      </c>
      <c r="G12" s="26" t="inlineStr">
        <is>
          <t>WTB: Deduction row
No M-1 adj
K: Lower OBI
Sch L: Lower cash</t>
        </is>
      </c>
      <c r="H12" s="26" t="inlineStr">
        <is>
          <t>Same as 2.1 above.
Also: photos of office space,
dedicated use documentation</t>
        </is>
      </c>
      <c r="I12" s="26" t="inlineStr">
        <is>
          <t>BONUS: Having a home office can make the commute from home → regular office a deductible business mile (Rev Rul 99-7). This secondary benefit often exceeds the direct home office savings. Track mileage!</t>
        </is>
      </c>
    </row>
    <row r="13" ht="15" customHeight="1" s="143">
      <c r="A13" s="180" t="inlineStr">
        <is>
          <t>STRATEGY 3: KIDS ON PAYROLL — Family Employment / Income Shifting</t>
        </is>
      </c>
      <c r="B13" s="177" t="n"/>
      <c r="C13" s="177" t="n"/>
      <c r="D13" s="177" t="n"/>
      <c r="E13" s="177" t="n"/>
      <c r="F13" s="177" t="n"/>
      <c r="G13" s="177" t="n"/>
      <c r="H13" s="177" t="n"/>
      <c r="I13" s="178" t="n"/>
    </row>
    <row r="14" ht="139.5" customHeight="1" s="143">
      <c r="A14" s="20" t="inlineStr">
        <is>
          <t>3.1</t>
        </is>
      </c>
      <c r="B14" s="20" t="inlineStr">
        <is>
          <t>Overview: Hire owner's children to do legitimate work. Shifts income from parent's high bracket to child's $0/low bracket. Standard deduction ($14,600 for 2024) shelters income.</t>
        </is>
      </c>
      <c r="C14" s="40" t="inlineStr">
        <is>
          <t>ENTITY: Wages to children = deductible on Pg 1 Ln 8. Reduces OBI. IMPORTANT: S-Corp / C-Corp must pay FICA (SS+Medicare) and FUTA on child wages — the FICA exemption for kids &lt;18 ONLY applies to sole props &amp; spousal partnerships.</t>
        </is>
      </c>
      <c r="D14" s="20" t="inlineStr">
        <is>
          <t>CHILD: Reports wages on their own 1040. Standard deduction ($14,600) shelters most/all income. Child can fund Roth IRA with earned income (up to $7,000/yr). PARENT: No direct 1040 effect — benefit is lower K-1 income from reduced OBI.</t>
        </is>
      </c>
      <c r="E14" s="20" t="inlineStr">
        <is>
          <t>DR: 6015 · Wages - Children
CR: 2020 · Payroll Liabilities
     1000 · Cash
W-2 issued to child
Payroll taxes apply (S-Corp)</t>
        </is>
      </c>
      <c r="F14" s="20" t="inlineStr">
        <is>
          <t>Pg 1 Ln 8 (Salaries/Wages)
Form 941 (quarterly)
W-2 to child
W-3 annual</t>
        </is>
      </c>
      <c r="G14" s="20" t="inlineStr">
        <is>
          <t>WTB: Add to deductions
Pg 1 Ln 8
K Ln 1: Lower OBI
7203: Lower basis incr
No M-1 adj</t>
        </is>
      </c>
      <c r="H14" s="20" t="inlineStr">
        <is>
          <t>• Written job description
• Time sheets / work log
• W-4 from child
• I-9 employment verification
• Payroll records / pay stubs
• W-2 issued
• Work product samples
• Comparable wage research</t>
        </is>
      </c>
      <c r="I14" s="20" t="inlineStr">
        <is>
          <t>MODERATE SCRUTINY. Work must be REAL and AGE-APPROPRIATE. Keep time sheets. Document work product. Wage must be "reasonable" for the work done — a 12-year-old cannot earn $50K for filing papers. Good tasks: social media, cleaning, data entry, modeling/photography, inventory. S-Corp loses the FICA exemption (&lt;18) — still saves income tax via income shifting.</t>
        </is>
      </c>
    </row>
    <row r="15" ht="139.5" customHeight="1" s="143">
      <c r="A15" s="26" t="inlineStr">
        <is>
          <t>3.2</t>
        </is>
      </c>
      <c r="B15" s="26" t="inlineStr">
        <is>
          <t>Entity vs. Sole Prop difference (CRITICAL)</t>
        </is>
      </c>
      <c r="C15" s="26" t="inlineStr">
        <is>
          <t>S-CORP / C-CORP:
• FICA (SS+Medicare) applies to ALL child wages regardless of age
• FUTA applies if child ≥21
• Employer pays 7.65% FICA + employee pays 7.65%
• Total payroll tax cost: ~15.3% of wages
• Still saves income tax via shifting</t>
        </is>
      </c>
      <c r="D15" s="26" t="inlineStr">
        <is>
          <t>SOLE PROP / SPOUSAL PARTNERSHIP:
• Child &lt;18: NO FICA (SS+Medicare)
• Child &lt;21: NO FUTA
• MASSIVE payroll tax savings
• If considering this strategy heavily, may be worth having a sole prop management company or disregarded LLC pay the kids</t>
        </is>
      </c>
      <c r="E15" s="26" t="inlineStr">
        <is>
          <t>Entity structure matters:
S-Corp pays child $12K/yr:
  Income tax saved: $12K × 32% = $3,840
  FICA cost: $12K × 15.3% = $1,836
  Net savings: ~$2,004
Sole prop pays child $12K:
  Income tax saved: $3,840
  SE tax saved: $12K × 15.3% = $1,836
  FICA cost: $0 (exempt)
  Net savings: ~$5,676</t>
        </is>
      </c>
      <c r="F15" s="26" t="inlineStr">
        <is>
          <t>Same as 3.1</t>
        </is>
      </c>
      <c r="G15" s="26" t="inlineStr">
        <is>
          <t>Same as 3.1</t>
        </is>
      </c>
      <c r="H15" s="26" t="inlineStr">
        <is>
          <t>Same as 3.1</t>
        </is>
      </c>
      <c r="I15" s="26" t="inlineStr">
        <is>
          <t>PRO TIP: Some firms use a sole-prop management company owned by the parent to hire the kids — gets the FICA exemption while the S-Corp pays a management fee to the sole prop. IRS has not challenged this structure directly, but it requires real substance. The management co must do real management work.</t>
        </is>
      </c>
    </row>
    <row r="16" ht="99.75" customHeight="1" s="143">
      <c r="A16" s="20" t="inlineStr">
        <is>
          <t>3.3</t>
        </is>
      </c>
      <c r="B16" s="20" t="inlineStr">
        <is>
          <t>Child's Roth IRA funding (bonus strategy)</t>
        </is>
      </c>
      <c r="C16" s="20" t="inlineStr">
        <is>
          <t>No entity-level effect — this is on the child's personal side.</t>
        </is>
      </c>
      <c r="D16" s="41" t="inlineStr">
        <is>
          <t>Child with earned income can contribute to Roth IRA (up to $7,000 for 2024 or earned income, whichever is less). Grows tax-free FOREVER. A 14-year-old contributing $7K/yr for 4 years = $28K → ~$500K+ by age 65 at 8% return. Parent can "gift" the Roth contribution money back to the child.</t>
        </is>
      </c>
      <c r="E16" s="20" t="inlineStr">
        <is>
          <t>No entity AJE.
Child opens Roth IRA
at Fidelity/Schwab.
Custodial account if &lt;18.</t>
        </is>
      </c>
      <c r="F16" s="20" t="inlineStr">
        <is>
          <t>Child's 1040
Form 5498 (IRA)</t>
        </is>
      </c>
      <c r="G16" s="20" t="inlineStr">
        <is>
          <t>N/A — individual side</t>
        </is>
      </c>
      <c r="H16" s="20" t="inlineStr">
        <is>
          <t>• Brokerage account opening docs
• Child's W-2 (proves earned income)
• Contribution records</t>
        </is>
      </c>
      <c r="I16" s="20" t="inlineStr">
        <is>
          <t>This is the real long-term wealth builder. The income tax savings from 3.1 are good, but the Roth IRA compounding is the real play. Kids don't need the cash — parent can match-fund the Roth contribution separately.</t>
        </is>
      </c>
    </row>
    <row r="17" ht="15" customHeight="1" s="143">
      <c r="A17" s="180" t="inlineStr">
        <is>
          <t>STRATEGY 4: S-CORP ELECTION / CONVERSION — Self-Employment Tax Savings</t>
        </is>
      </c>
      <c r="B17" s="177" t="n"/>
      <c r="C17" s="177" t="n"/>
      <c r="D17" s="177" t="n"/>
      <c r="E17" s="177" t="n"/>
      <c r="F17" s="177" t="n"/>
      <c r="G17" s="177" t="n"/>
      <c r="H17" s="177" t="n"/>
      <c r="I17" s="178" t="n"/>
    </row>
    <row r="18" ht="144.75" customHeight="1" s="143">
      <c r="A18" s="20" t="inlineStr">
        <is>
          <t>4.1</t>
        </is>
      </c>
      <c r="B18" s="20" t="inlineStr">
        <is>
          <t>Overview: Convert from Sole Prop / Partnership → S-Corp election. Only W-2 wages are subject to FICA. Distributions are FICA-free. SE tax savings = 15.3% on distribution portion.</t>
        </is>
      </c>
      <c r="C18" s="40" t="inlineStr">
        <is>
          <t>ENTITY: New 1120-S return filed instead of Sch C or 1065. Must pay "reasonable compensation" as W-2 wages first. Remaining profit distributed as FICA-free distributions. Entity now has payroll obligations (941, W-2, W-3).</t>
        </is>
      </c>
      <c r="D18" s="41" t="inlineStr">
        <is>
          <t>INDIVIDUAL: No more SE tax on Sch C. Instead: W-2 wages (FICA applies) + K-1 distribution income (NO FICA). Net savings depends on salary vs distribution split. SH-employee also gets above-the-line deductions (§199A QBI on distribution portion).</t>
        </is>
      </c>
      <c r="E18" s="20" t="inlineStr">
        <is>
          <t>This is a STRUCTURAL change,
not an AJE on an existing return.
New entity = new return.
Prior Sch C income → now
1120-S Pg 1 + K-1.</t>
        </is>
      </c>
      <c r="F18" s="20" t="inlineStr">
        <is>
          <t>Form 2553 (S election)
1120-S (new return)
K-1 to each SH
Form 941 (payroll)
W-2 / W-3</t>
        </is>
      </c>
      <c r="G18" s="20" t="inlineStr">
        <is>
          <t>Entire WTB workbook
applies to new entity.
WTB: Salary on Pg 1 Ln 7-8
K Ln 1: OBI after salary
K Ln 16d: Distributions
7203: Full basis tracking</t>
        </is>
      </c>
      <c r="H18" s="20" t="inlineStr">
        <is>
          <t>• Form 2553 (filed by 3/15)
• Articles of incorporation
• EIN application
• Payroll setup (ADP, Gusto)
• Reasonable comp analysis
• Prior Sch C / 1065 P&amp;L
• Asset transfer documentation</t>
        </is>
      </c>
      <c r="I18" s="20" t="inlineStr">
        <is>
          <t>IRS KEY RISK: "Reasonable compensation" — must pay adequate W-2 salary before distributions. $0 salary with large distributions = audit red flag. See Watson v. Commissioner. Use 3rd party salary data (BLS, PayScale, Robert Half). Document comp analysis in workpapers. Rule of thumb: salary should be ~100% of what you'd pay someone to do your job, but this is NOT a fixed rule.</t>
        </is>
      </c>
    </row>
    <row r="19" ht="144.75" customHeight="1" s="143">
      <c r="A19" s="26" t="inlineStr">
        <is>
          <t>4.2</t>
        </is>
      </c>
      <c r="B19" s="26" t="inlineStr">
        <is>
          <t>Savings calculation example</t>
        </is>
      </c>
      <c r="C19" s="26" t="inlineStr">
        <is>
          <t>Example: Net profit = $200K
SCHEDULE C (before):
SE tax: $200K × 15.3% = $30,600
(actually: $200K × 92.35% × 15.3% = $28,256 after deduction)
S-CORP (after):
Salary: $80K → FICA: $80K × 15.3% = $12,240
Distribution: $120K → FICA: $0
SE tax savings: ~$16,016/year</t>
        </is>
      </c>
      <c r="D19" s="26" t="inlineStr">
        <is>
          <t>Additional individual benefits:
• §199A QBI deduction applies to K-1 pass-through income (not salary)
• Higher K-1 = higher QBI = bigger 20% deduction
• But: salary too low means lower Social Security benefit in retirement
• And: S-corp has ongoing compliance costs ($2K-5K/yr for accounting/payroll)</t>
        </is>
      </c>
      <c r="E19" s="26" t="inlineStr">
        <is>
          <t>No AJE — structural.
Break-even analysis:
SE tax savings must exceed
additional S-Corp costs:
• Payroll service: $500-2K/yr
• Tax prep (1120-S): $1-3K/yr
• State fees: varies
• Reasonable comp study: $500-1K
Typically worth it if net
profit consistently &gt;$50-60K</t>
        </is>
      </c>
      <c r="F19" s="26" t="inlineStr">
        <is>
          <t>Same as 4.1</t>
        </is>
      </c>
      <c r="G19" s="26" t="inlineStr">
        <is>
          <t>Same as 4.1</t>
        </is>
      </c>
      <c r="H19" s="26" t="inlineStr">
        <is>
          <t>Same as 4.1
Plus: reasonable comp study
from BLS/PayScale data</t>
        </is>
      </c>
      <c r="I19" s="26" t="inlineStr">
        <is>
          <t>TIMING: Form 2553 due by 3/15 for calendar year. Late elections possible via Rev Proc 2013-30 (reasonable cause). Watch for state implications — some states don't recognize S-corp or impose entity-level taxes (CA $800 min, NYC UBT). Built-in gains tax if converting C-corp → S-corp with appreciated assets.</t>
        </is>
      </c>
    </row>
    <row r="20" ht="15" customHeight="1" s="143">
      <c r="A20" s="180" t="inlineStr">
        <is>
          <t>STRATEGY 5: OFFICER SALARY OPTIMIZATION — Reasonable Compensation</t>
        </is>
      </c>
      <c r="B20" s="177" t="n"/>
      <c r="C20" s="177" t="n"/>
      <c r="D20" s="177" t="n"/>
      <c r="E20" s="177" t="n"/>
      <c r="F20" s="177" t="n"/>
      <c r="G20" s="177" t="n"/>
      <c r="H20" s="177" t="n"/>
      <c r="I20" s="178" t="n"/>
    </row>
    <row r="21" ht="144.75" customHeight="1" s="143">
      <c r="A21" s="20" t="inlineStr">
        <is>
          <t>5.1</t>
        </is>
      </c>
      <c r="B21" s="20" t="inlineStr">
        <is>
          <t>Overview: Set officer salary at defensible "reasonable compensation" level — not too low (audit risk) and not too high (excess FICA). This IS an entity-level adjustment.</t>
        </is>
      </c>
      <c r="C21" s="40" t="inlineStr">
        <is>
          <t>ENTITY: Officer comp = Pg 1 Ln 7. Must file Form 1125-E if gross receipts ≥$500K. Comp is deductible, reduces OBI. W-2 issued. Payroll taxes paid by entity (employer share 7.65%).</t>
        </is>
      </c>
      <c r="D21" s="20" t="inlineStr">
        <is>
          <t>INDIVIDUAL: SH receives W-2. Subject to regular income tax + employee FICA (7.65%). Remaining profit = K-1 distribution income (no FICA). Goal: minimize total FICA while maintaining defensible salary.</t>
        </is>
      </c>
      <c r="E21" s="20" t="inlineStr">
        <is>
          <t>Salary is already on PBC P&amp;L
(if properly booked).
AJE only needed if:
• Salary is being CHANGED
from book amount
• Year-end bonus adjustment
• Reclassifying distributions
  as salary (IRS audit)</t>
        </is>
      </c>
      <c r="F21" s="20" t="inlineStr">
        <is>
          <t>Pg 1 Ln 7 (Officer comp)
Form 1125-E
W-2 / W-3
Form 941
K Ln 16d (distributions)</t>
        </is>
      </c>
      <c r="G21" s="20" t="inlineStr">
        <is>
          <t>WTB: r19-20 (officer comp)
Pg 1 Ln 7-8
K Ln 1: OBI after salary
K Ln 16d: Distributions
7203: Basis tracking
M-2: AAA computation</t>
        </is>
      </c>
      <c r="H21" s="20" t="inlineStr">
        <is>
          <t>• W-2s for all officers
• Reasonable comp analysis
  (3 methods below)
• Form 1125-E
• Board resolution setting comp
• Job descriptions
• Time commitment documentation</t>
        </is>
      </c>
      <c r="I21" s="20" t="inlineStr">
        <is>
          <t>THREE APPROACHES to reasonable comp:
1. Comparable salary data (BLS, PayScale, Robert Half, Salary.com)
2. Independent investor test (what would investor pay for these services?)
3. Cost savings approach (what would it cost to replace this person?)
Document the analysis. Keep in workpapers. IRS will ask for it on audit. Watson v. US (8th Cir 2012) is the landmark case.</t>
        </is>
      </c>
    </row>
    <row r="22" ht="129.75" customHeight="1" s="143">
      <c r="A22" s="26" t="inlineStr">
        <is>
          <t>5.2</t>
        </is>
      </c>
      <c r="B22" s="26" t="inlineStr">
        <is>
          <t>Desert Peak example — current vs. optimized</t>
        </is>
      </c>
      <c r="C22" s="26" t="inlineStr">
        <is>
          <t>CURRENT (Desert Peak):
Principal Shareholder: $95,000 salary
—: $65,000 salary
Total officer comp: $160,000
Distributions: $300,000
OBI: $963,200
FICA on salary: $160K × 15.3% = $24,480</t>
        </is>
      </c>
      <c r="D22" s="26" t="inlineStr">
        <is>
          <t>ANALYSIS QUESTIONS:
• Is $95K reasonable for a President of a $2.3M consulting firm? May be LOW.
• Is $65K reasonable for a VP? Depends on role.
• IRS factors: time spent, duties, industry comparable, company size/revenue.
• If IRS says salary too low, they reclassify distributions → wages + penalties + back FICA.</t>
        </is>
      </c>
      <c r="E22" s="26" t="inlineStr">
        <is>
          <t>If adjusting salary:
DR: 6000 · Officer Comp
CR: 2020 · Payroll Liabilities
     1000 · Cash
Increasing salary:
• Increases Pg 1 Ln 7
• Increases FICA cost
• Decreases OBI (K Ln 1)
• Decreases distributions</t>
        </is>
      </c>
      <c r="F22" s="26" t="inlineStr">
        <is>
          <t>Same as 5.1</t>
        </is>
      </c>
      <c r="G22" s="26" t="inlineStr">
        <is>
          <t>WTB r19: Principal Shareholder comp
WTB r20: — comp
WTB r136: OBI changes
K Ln 1: OBI changes
All downstream recalcs</t>
        </is>
      </c>
      <c r="H22" s="26" t="inlineStr">
        <is>
          <t>• Salary.com report for
  "Consulting Firm President"
• BLS data for management
  consulting industry
• Robert Half salary guide</t>
        </is>
      </c>
      <c r="I22" s="26" t="inlineStr">
        <is>
          <t>DANGER ZONE: With $2.3M gross receipts and $963K OBI, officer comp of $160K is only ~7% of revenue and ~17% of OBI. This WILL draw scrutiny. Consider increasing salary or documenting why the current level is reasonable (e.g., limited hours, other employees do the work, etc.).</t>
        </is>
      </c>
    </row>
    <row r="23" ht="15" customHeight="1" s="143">
      <c r="A23" s="180" t="inlineStr">
        <is>
          <t>ADDITIONAL STRATEGIES — Quick Reference (Common Client Requests)</t>
        </is>
      </c>
      <c r="B23" s="177" t="n"/>
      <c r="C23" s="177" t="n"/>
      <c r="D23" s="177" t="n"/>
      <c r="E23" s="177" t="n"/>
      <c r="F23" s="177" t="n"/>
      <c r="G23" s="177" t="n"/>
      <c r="H23" s="177" t="n"/>
      <c r="I23" s="178" t="n"/>
    </row>
    <row r="24" ht="109.5" customHeight="1" s="143">
      <c r="A24" s="20" t="inlineStr">
        <is>
          <t>6.1</t>
        </is>
      </c>
      <c r="B24" s="20" t="inlineStr">
        <is>
          <t>Retirement plan contributions (SEP, SIMPLE, Solo 401k)</t>
        </is>
      </c>
      <c r="C24" s="40" t="inlineStr">
        <is>
          <t>ENTITY: Employer contributions = Pg 1 Ln 17 deduction. Reduces OBI. Employee salary deferrals reduce W-2 Box 1 but stay on Box 3/5 (still subject to FICA).</t>
        </is>
      </c>
      <c r="D24" s="20" t="inlineStr">
        <is>
          <t>SH: Employer contribution = tax-free until withdrawal. Employee deferral = pre-tax (traditional) or post-tax (Roth). Solo 401k allows up to $23,500 employee + 25% comp employer (2025).</t>
        </is>
      </c>
      <c r="E24" s="20" t="inlineStr">
        <is>
          <t>DR: 6040 · Retirement Contrib
CR: 1000 · Cash / Plan Account
Usually already on PBC.
No special AJE unless
contribution is made after
year-end (due by filing deadline).</t>
        </is>
      </c>
      <c r="F24" s="20" t="inlineStr">
        <is>
          <t>Pg 1 Ln 17
Form 5500 (if applicable)
W-2 Box 12 (employee)
K-1 (employer portion)</t>
        </is>
      </c>
      <c r="G24" s="20" t="inlineStr">
        <is>
          <t>WTB: Deduction row
Pg 1 Ln 17
K Ln 1: Lower OBI
No M-1 adj</t>
        </is>
      </c>
      <c r="H24" s="20" t="inlineStr">
        <is>
          <t>• Plan document
• Adoption agreement
• Contribution records
• Form 5500 (if &gt;$250K)
• Employee census data</t>
        </is>
      </c>
      <c r="I24" s="20" t="inlineStr">
        <is>
          <t>S-corp officer comp drives contribution limits. Higher salary = higher employer contribution limit. Balance FICA savings (lower salary) vs retirement contribution capacity (higher salary). SEP-IRA: up to 25% of W-2 comp. Solo 401k more flexible.</t>
        </is>
      </c>
    </row>
    <row r="25" ht="109.5" customHeight="1" s="143">
      <c r="A25" s="26" t="inlineStr">
        <is>
          <t>6.2</t>
        </is>
      </c>
      <c r="B25" s="26" t="inlineStr">
        <is>
          <t>Accountable Plan — cell phone, internet, vehicle, education, travel</t>
        </is>
      </c>
      <c r="C25" s="40" t="inlineStr">
        <is>
          <t>ENTITY: All reimbursements under Accountable Plan = deductible on Pg 1. NOT wages. No payroll tax. Must meet 3 requirements: business connection, substantiation, return excess.</t>
        </is>
      </c>
      <c r="D25" s="41" t="inlineStr">
        <is>
          <t>SH: Tax-free reimbursements. Not on W-2. Cell phone, internet (business %), vehicle (actual or mileage), continuing education, professional development, work-related travel. SH keeps personal deductions intact.</t>
        </is>
      </c>
      <c r="E25" s="26" t="inlineStr">
        <is>
          <t>DR: Various expense accounts
CR: 1000 · Cash
Reimburse actual documented
expenses only. No flat stipends
(that's a Nonaccountable Plan = taxable).</t>
        </is>
      </c>
      <c r="F25" s="26" t="inlineStr">
        <is>
          <t>Pg 1 Ln 18/19
Not on W-2
No 1099</t>
        </is>
      </c>
      <c r="G25" s="26" t="inlineStr">
        <is>
          <t>WTB: Deduction rows
No M-1 adj
K: Lower OBI
Sch L: Lower cash</t>
        </is>
      </c>
      <c r="H25" s="26" t="inlineStr">
        <is>
          <t>• Written Accountable Plan
• Board resolution adopting plan
• Expense reports with receipts
• Mileage logs (if vehicle)
• Business purpose documentation</t>
        </is>
      </c>
      <c r="I25" s="26" t="inlineStr">
        <is>
          <t>This replaces the employee business expense deduction (Form 2106) killed by TCJA. SH-employees have NO other way to deduct these expenses post-2017. Accountable Plan is the ONLY mechanism. Every S-corp should have one.</t>
        </is>
      </c>
    </row>
    <row r="26" ht="120" customHeight="1" s="143">
      <c r="A26" s="20" t="inlineStr">
        <is>
          <t>6.3</t>
        </is>
      </c>
      <c r="B26" s="20" t="inlineStr">
        <is>
          <t>&gt;2% SH health insurance / ICHRA / QSEHRA</t>
        </is>
      </c>
      <c r="C26" s="40" t="inlineStr">
        <is>
          <t>ENTITY: Premium paid by corp added to SH W-2 Box 1 (NOT Box 12 Code DD). Deducted as part of officer comp on Pg 1 Ln 7-8. M-1 addback if also booked as separate expense (see AJE-06). ICHRA/QSEHRA: corp reimburses SH for individual policy.</t>
        </is>
      </c>
      <c r="D26" s="41" t="inlineStr">
        <is>
          <t>SH: Deducts health insurance premium on 1040 Schedule 1, Line 17 (above-the-line). Net effect: deduction shifts from entity → personal. SH still gets the deduction. ICHRA allows tax-free reimbursement of individual health premiums.</t>
        </is>
      </c>
      <c r="E26" s="20" t="inlineStr">
        <is>
          <t>DR: 6031 · Officer Health Ins
CR: 1000 · Cash
Then add to W-2 Box 1:
DR: 6031 · SH Health (W-2)
CR: 2020 · Payroll Liab
M-1 addback: See AJE-06</t>
        </is>
      </c>
      <c r="F26" s="20" t="inlineStr">
        <is>
          <t>W-2 Box 1 (included)
Pg 1 Ln 7-8 (part of comp)
M-1 Ln 3b (addback)
K Ln 16c (nondeductible)
SH 1040 Sch 1 Ln 17</t>
        </is>
      </c>
      <c r="G26" s="20" t="inlineStr">
        <is>
          <t>WTB r91: SH health ins
M-1 Ln 3b: Addback
K Ln 16c: Nondeductible
7203 Ln 13: Basis decrease
AJE-06: Existing entry</t>
        </is>
      </c>
      <c r="H26" s="20" t="inlineStr">
        <is>
          <t>• Health insurance policy/invoice
• Premium payment records
• ICHRA/QSEHRA plan document
• W-2 showing inclusion in Box 1</t>
        </is>
      </c>
      <c r="I26" s="20" t="inlineStr">
        <is>
          <t>Already captured in WTB r91 and AJE-06. The strategy is making sure it's structured correctly: corp pays premium → added to W-2 → SH deducts on personal. If not on W-2, SH loses the above-the-line deduction. ICHRA is newer and more flexible — allows SH to pick their own policy and get reimbursed.</t>
        </is>
      </c>
    </row>
    <row r="27" ht="129.75" customHeight="1" s="143">
      <c r="A27" s="26" t="inlineStr">
        <is>
          <t>6.4</t>
        </is>
      </c>
      <c r="B27" s="26" t="inlineStr">
        <is>
          <t>§199A Qualified Business Income (QBI) deduction — 20% pass-through deduction</t>
        </is>
      </c>
      <c r="C27" s="40" t="inlineStr">
        <is>
          <t>ENTITY: Must report QBI, W-2 wages, and UBIA on K-1 (Box 17 codes V, W, X). QBI = OBI (usually). W-2 wages = from payroll records (Form W-3). UBIA = unadjusted basis of qualified property from fixed asset schedule.</t>
        </is>
      </c>
      <c r="D27" s="41" t="inlineStr">
        <is>
          <t>SH: Takes 20% deduction of QBI on personal 1040 (§199A). Subject to limitations:
• If taxable income &gt;$191,950 (single) / $383,900 (MFJ): W-2 wage / UBIA test applies
• SSTB (specified service) phase-out above thresholds
• Deduction = LESSER of 20% QBI or 50% W-2 wages (or 25% W-2 + 2.5% UBIA)</t>
        </is>
      </c>
      <c r="E27" s="26" t="inlineStr">
        <is>
          <t>No AJE — reporting only.
Entity reports on K-1:
Box 17V: QBI amount
Box 17W: W-2 wages
Box 17X: UBIA
SH uses Form 8995 or
8995-A on personal return.</t>
        </is>
      </c>
      <c r="F27" s="26" t="inlineStr">
        <is>
          <t>K-1 Box 17 V/W/X
SH: Form 8995/8995-A
1040 Ln 13</t>
        </is>
      </c>
      <c r="G27" s="26" t="inlineStr">
        <is>
          <t>K tab: Ln 17d/17e/17f
DOC-10 in AJE tab
WTB r136: OBI = QBI
7203: Not direct, but
QBI drives basis indirectly</t>
        </is>
      </c>
      <c r="H27" s="26" t="inlineStr">
        <is>
          <t>• W-3 (total W-2 wages)
• Fixed asset schedule (UBIA)
• Payroll records
• SH taxable income estimate
  (for limitation testing)</t>
        </is>
      </c>
      <c r="I27" s="26" t="inlineStr">
        <is>
          <t>EXPIRING: §199A sunsets after 12/31/2025 under current law (TCJA). If not extended, this deduction disappears for 2026+. Congress may extend. Officer salary interacts: higher salary = lower QBI but higher W-2 wages for the limitation test. Model both scenarios.</t>
        </is>
      </c>
    </row>
    <row r="28" ht="120" customHeight="1" s="143">
      <c r="A28" s="20" t="inlineStr">
        <is>
          <t>6.5</t>
        </is>
      </c>
      <c r="B28" s="20" t="inlineStr">
        <is>
          <t>Cost segregation study (accelerate depreciation on real property)</t>
        </is>
      </c>
      <c r="C28" s="40" t="inlineStr">
        <is>
          <t>ENTITY: Reclassify building components (HVAC, electrical, flooring, etc.) from 39/27.5-yr property to 5/7/15-yr property. Eligible for bonus depreciation. Massive acceleration of depreciation deduction on Pg 1.</t>
        </is>
      </c>
      <c r="D28" s="20" t="inlineStr">
        <is>
          <t>SH: Larger depreciation = lower K-1 income = lower taxes now. Creates timing difference (more depr now, less later). May create a loss that's limited by basis (7203), at-risk (§465), or passive activity (§469) rules.</t>
        </is>
      </c>
      <c r="E28" s="20" t="inlineStr">
        <is>
          <t>DR: Accumulated Depreciation
CR: Depreciation Expense
(reclassification of prior years)
Current year:
DR: Depreciation Expense
CR: Accumulated Depreciation
(larger current-year deduction)
Form 3115 required for
change in accounting method.</t>
        </is>
      </c>
      <c r="F28" s="20" t="inlineStr">
        <is>
          <t>Form 4562 (depreciation)
Form 3115 (method change)
Pg 1 Ln 14
M-1 Ln 6a</t>
        </is>
      </c>
      <c r="G28" s="20" t="inlineStr">
        <is>
          <t>WTB r109: MACRS
M-1 Ln 6a: Larger tax depr
Sch L Ln 10a/10b: Adjusted
K Ln 1: Lower OBI
7203: Lower basis increase</t>
        </is>
      </c>
      <c r="H28" s="20" t="inlineStr">
        <is>
          <t>• Cost segregation study report
  (from qualified engineer)
• Form 3115 (accounting change)
• Updated depreciation schedule
• Building purchase documents</t>
        </is>
      </c>
      <c r="I28" s="20" t="inlineStr">
        <is>
          <t>Only applies if entity owns real property. Cost seg study = $5K-15K but can generate $50K-200K+ in accelerated deductions for a $1M+ building. Form 3115 catch-up adjustment = §481(a) adjustment (often fully deductible in year of change). Bonus depreciation phasing down: 0% (2025), 20% (2026), 0% (2027+).</t>
        </is>
      </c>
    </row>
    <row r="29" ht="109.5" customHeight="1" s="143">
      <c r="A29" s="26" t="inlineStr">
        <is>
          <t>6.6</t>
        </is>
      </c>
      <c r="B29" s="26" t="inlineStr">
        <is>
          <t>Charitable giving strategies (bunching, DAF, CRT)</t>
        </is>
      </c>
      <c r="C29" s="26" t="inlineStr">
        <is>
          <t>ENTITY: Charitable contributions are already separately stated on K Ln 12a (see AJE-09). Entity reports the contribution; SH deducts on personal Sch A. No entity-level deduction.</t>
        </is>
      </c>
      <c r="D29" s="41" t="inlineStr">
        <is>
          <t>SH: "Bunching" — contribute 2-3 years of charitable giving into a Donor Advised Fund (DAF) in one year to exceed standard deduction, then take standard deduction in off years. CRT for large appreciated asset sales. S-corp distributes appreciated stock → SH donates → avoids cap gains.</t>
        </is>
      </c>
      <c r="E29" s="26" t="inlineStr">
        <is>
          <t>No entity AJE beyond
existing AJE-09.
DAF contribution:
Entity pays → K Ln 12a
SH claims on Sch A
If SH contributes personally
→ no entity involvement at all.</t>
        </is>
      </c>
      <c r="F29" s="26" t="inlineStr">
        <is>
          <t>K Ln 12a / K-1 Box 12A
SH: Sch A (itemized)
Form 8283 (noncash &gt;$500)</t>
        </is>
      </c>
      <c r="G29" s="26" t="inlineStr">
        <is>
          <t>WTB r114: Charity
AJE-09: Existing
K Ln 12a: Already there
7203 Ln 15: Basis decrease</t>
        </is>
      </c>
      <c r="H29" s="26" t="inlineStr">
        <is>
          <t>• Donation receipts
• DAF account statements
• Written acknowledgment (&gt;$250)
• Form 8283 (noncash &gt;$500)
• Appraisal (noncash &gt;$5,000)</t>
        </is>
      </c>
      <c r="I29" s="26" t="inlineStr">
        <is>
          <t>Bunching strategy works best for clients near the standard deduction threshold. If they're always itemizing or never itemizing, bunching has less impact. DAF gives immediate deduction, grants to charity can be made over many years. Sunset alert: SALT cap ($10K) may change, affecting itemization math.</t>
        </is>
      </c>
    </row>
    <row r="30" ht="15" customHeight="1" s="143"/>
    <row r="31" ht="15" customHeight="1" s="143">
      <c r="A31" s="176" t="n"/>
      <c r="B31" s="176" t="inlineStr">
        <is>
          <t>STRATEGY IMPACT MAP — WHERE EACH HITS THE RETURN</t>
        </is>
      </c>
      <c r="C31" s="176" t="n"/>
      <c r="D31" s="176" t="n"/>
      <c r="E31" s="176" t="n"/>
      <c r="F31" s="176" t="n"/>
      <c r="G31" s="176" t="n"/>
      <c r="H31" s="176" t="n"/>
      <c r="I31" s="176" t="n"/>
    </row>
    <row r="32" ht="15" customHeight="1" s="143">
      <c r="B32" s="42" t="inlineStr">
        <is>
          <t>Strategy</t>
        </is>
      </c>
      <c r="C32" s="43" t="inlineStr">
        <is>
          <t>Pg 1 OBI</t>
        </is>
      </c>
      <c r="D32" s="43" t="inlineStr">
        <is>
          <t>M-1 Adj</t>
        </is>
      </c>
      <c r="E32" s="43" t="inlineStr">
        <is>
          <t>Sch K</t>
        </is>
      </c>
      <c r="F32" s="43" t="inlineStr">
        <is>
          <t>Sch L</t>
        </is>
      </c>
      <c r="G32" s="43" t="inlineStr">
        <is>
          <t>M-2 AAA</t>
        </is>
      </c>
      <c r="H32" s="43" t="inlineStr">
        <is>
          <t>7203</t>
        </is>
      </c>
      <c r="I32" s="43" t="inlineStr">
        <is>
          <t>SH 1040</t>
        </is>
      </c>
    </row>
    <row r="33" ht="15" customHeight="1" s="143">
      <c r="B33" s="33" t="inlineStr">
        <is>
          <t>Augusta Rule</t>
        </is>
      </c>
      <c r="C33" s="29" t="inlineStr">
        <is>
          <t>↓ Lower</t>
        </is>
      </c>
      <c r="D33" s="29" t="inlineStr">
        <is>
          <t>None</t>
        </is>
      </c>
      <c r="E33" s="29" t="inlineStr">
        <is>
          <t>K1: Lower OBI</t>
        </is>
      </c>
      <c r="F33" s="29" t="inlineStr">
        <is>
          <t>↓ Cash</t>
        </is>
      </c>
      <c r="G33" s="29" t="inlineStr">
        <is>
          <t>↓ Lower</t>
        </is>
      </c>
      <c r="H33" s="29" t="inlineStr">
        <is>
          <t>↓ Lower incr</t>
        </is>
      </c>
      <c r="I33" s="29" t="inlineStr">
        <is>
          <t>Tax-free income</t>
        </is>
      </c>
    </row>
    <row r="34" ht="15" customHeight="1" s="143">
      <c r="B34" s="35" t="inlineStr">
        <is>
          <t>Home Office</t>
        </is>
      </c>
      <c r="C34" s="24" t="inlineStr">
        <is>
          <t>↓ Lower</t>
        </is>
      </c>
      <c r="D34" s="24" t="inlineStr">
        <is>
          <t>None</t>
        </is>
      </c>
      <c r="E34" s="24" t="inlineStr">
        <is>
          <t>K1: Lower OBI</t>
        </is>
      </c>
      <c r="F34" s="24" t="inlineStr">
        <is>
          <t>↓ Cash</t>
        </is>
      </c>
      <c r="G34" s="24" t="inlineStr">
        <is>
          <t>↓ Lower</t>
        </is>
      </c>
      <c r="H34" s="24" t="inlineStr">
        <is>
          <t>↓ Lower incr</t>
        </is>
      </c>
      <c r="I34" s="24" t="inlineStr">
        <is>
          <t>Tax-free reimb</t>
        </is>
      </c>
    </row>
    <row r="35" ht="15" customHeight="1" s="143">
      <c r="B35" s="33" t="inlineStr">
        <is>
          <t>Kids on Payroll</t>
        </is>
      </c>
      <c r="C35" s="29" t="inlineStr">
        <is>
          <t>↓ Lower</t>
        </is>
      </c>
      <c r="D35" s="29" t="inlineStr">
        <is>
          <t>None</t>
        </is>
      </c>
      <c r="E35" s="29" t="inlineStr">
        <is>
          <t>K1: Lower OBI</t>
        </is>
      </c>
      <c r="F35" s="29" t="inlineStr">
        <is>
          <t>↓ Cash</t>
        </is>
      </c>
      <c r="G35" s="29" t="inlineStr">
        <is>
          <t>↓ Lower</t>
        </is>
      </c>
      <c r="H35" s="29" t="inlineStr">
        <is>
          <t>↓ Lower incr</t>
        </is>
      </c>
      <c r="I35" s="29" t="inlineStr">
        <is>
          <t>Child files 1040</t>
        </is>
      </c>
    </row>
    <row r="36" ht="15" customHeight="1" s="143">
      <c r="B36" s="35" t="inlineStr">
        <is>
          <t>S-Corp Conversion</t>
        </is>
      </c>
      <c r="C36" s="24" t="inlineStr">
        <is>
          <t>NEW RETURN</t>
        </is>
      </c>
      <c r="D36" s="24" t="inlineStr">
        <is>
          <t>N/A (new)</t>
        </is>
      </c>
      <c r="E36" s="24" t="inlineStr">
        <is>
          <t>All K items</t>
        </is>
      </c>
      <c r="F36" s="24" t="inlineStr">
        <is>
          <t>Full BS</t>
        </is>
      </c>
      <c r="G36" s="24" t="inlineStr">
        <is>
          <t>Full M-2</t>
        </is>
      </c>
      <c r="H36" s="24" t="inlineStr">
        <is>
          <t>Full 7203</t>
        </is>
      </c>
      <c r="I36" s="24" t="inlineStr">
        <is>
          <t>K-1 + W-2</t>
        </is>
      </c>
    </row>
    <row r="37" ht="15" customHeight="1" s="143">
      <c r="B37" s="33" t="inlineStr">
        <is>
          <t>Officer Salary</t>
        </is>
      </c>
      <c r="C37" s="29" t="inlineStr">
        <is>
          <t>Pg 1 Ln 7</t>
        </is>
      </c>
      <c r="D37" s="29" t="inlineStr">
        <is>
          <t>None</t>
        </is>
      </c>
      <c r="E37" s="29" t="inlineStr">
        <is>
          <t>K1: OBI adj</t>
        </is>
      </c>
      <c r="F37" s="29" t="inlineStr">
        <is>
          <t>Payroll liab</t>
        </is>
      </c>
      <c r="G37" s="29" t="inlineStr">
        <is>
          <t>AAA adj</t>
        </is>
      </c>
      <c r="H37" s="29" t="inlineStr">
        <is>
          <t>Basis adj</t>
        </is>
      </c>
      <c r="I37" s="29" t="inlineStr">
        <is>
          <t>W-2 + K-1 split</t>
        </is>
      </c>
    </row>
    <row r="38" ht="15" customHeight="1" s="143">
      <c r="B38" s="35" t="inlineStr">
        <is>
          <t>Retirement Plan</t>
        </is>
      </c>
      <c r="C38" s="24" t="inlineStr">
        <is>
          <t>↓ Pg 1 Ln 17</t>
        </is>
      </c>
      <c r="D38" s="24" t="inlineStr">
        <is>
          <t>None</t>
        </is>
      </c>
      <c r="E38" s="24" t="inlineStr">
        <is>
          <t>K1: Lower OBI</t>
        </is>
      </c>
      <c r="F38" s="24" t="inlineStr">
        <is>
          <t>↓ Cash</t>
        </is>
      </c>
      <c r="G38" s="24" t="inlineStr">
        <is>
          <t>↓ Lower</t>
        </is>
      </c>
      <c r="H38" s="24" t="inlineStr">
        <is>
          <t>↓ Lower incr</t>
        </is>
      </c>
      <c r="I38" s="24" t="inlineStr">
        <is>
          <t>Tax-deferred</t>
        </is>
      </c>
    </row>
    <row r="39" ht="15" customHeight="1" s="143">
      <c r="B39" s="33" t="inlineStr">
        <is>
          <t>Accountable Plan</t>
        </is>
      </c>
      <c r="C39" s="29" t="inlineStr">
        <is>
          <t>↓ Pg 1 Ln 18</t>
        </is>
      </c>
      <c r="D39" s="29" t="inlineStr">
        <is>
          <t>None</t>
        </is>
      </c>
      <c r="E39" s="29" t="inlineStr">
        <is>
          <t>K1: Lower OBI</t>
        </is>
      </c>
      <c r="F39" s="29" t="inlineStr">
        <is>
          <t>↓ Cash</t>
        </is>
      </c>
      <c r="G39" s="29" t="inlineStr">
        <is>
          <t>↓ Lower</t>
        </is>
      </c>
      <c r="H39" s="29" t="inlineStr">
        <is>
          <t>↓ Lower incr</t>
        </is>
      </c>
      <c r="I39" s="29" t="inlineStr">
        <is>
          <t>Tax-free reimb</t>
        </is>
      </c>
    </row>
    <row r="40" ht="15" customHeight="1" s="143">
      <c r="B40" s="35" t="inlineStr">
        <is>
          <t>§199A QBI</t>
        </is>
      </c>
      <c r="C40" s="24" t="inlineStr">
        <is>
          <t>No change</t>
        </is>
      </c>
      <c r="D40" s="24" t="inlineStr">
        <is>
          <t>None</t>
        </is>
      </c>
      <c r="E40" s="24" t="inlineStr">
        <is>
          <t>K1 Box 17V/W/X</t>
        </is>
      </c>
      <c r="F40" s="24" t="inlineStr">
        <is>
          <t>No change</t>
        </is>
      </c>
      <c r="G40" s="24" t="inlineStr">
        <is>
          <t>No change</t>
        </is>
      </c>
      <c r="H40" s="24" t="inlineStr">
        <is>
          <t>No change</t>
        </is>
      </c>
      <c r="I40" s="24" t="inlineStr">
        <is>
          <t>20% deduction</t>
        </is>
      </c>
    </row>
    <row r="41" ht="15" customHeight="1" s="143">
      <c r="B41" s="33" t="inlineStr">
        <is>
          <t>Cost Segregation</t>
        </is>
      </c>
      <c r="C41" s="29" t="inlineStr">
        <is>
          <t>↓ More depr</t>
        </is>
      </c>
      <c r="D41" s="29" t="inlineStr">
        <is>
          <t>↑ Ln 6a larger</t>
        </is>
      </c>
      <c r="E41" s="29" t="inlineStr">
        <is>
          <t>K1: Lower OBI</t>
        </is>
      </c>
      <c r="F41" s="29" t="inlineStr">
        <is>
          <t>↓ Net FA</t>
        </is>
      </c>
      <c r="G41" s="29" t="inlineStr">
        <is>
          <t>↓ Lower</t>
        </is>
      </c>
      <c r="H41" s="29" t="inlineStr">
        <is>
          <t>↓ Lower incr</t>
        </is>
      </c>
      <c r="I41" s="29" t="inlineStr">
        <is>
          <t>Lower K-1 income</t>
        </is>
      </c>
    </row>
    <row r="42" ht="15" customHeight="1" s="143"/>
    <row r="43" ht="15" customHeight="1" s="143">
      <c r="A43" s="172" t="inlineStr">
        <is>
          <t>COLOR KEY: Blue background = entity-level adjustment (hits 1120-S/1065 return). Purple background = individual/SH-level only (hits 1040, not entity). Both = has components on both.</t>
        </is>
      </c>
    </row>
    <row r="44" ht="27.75" customHeight="1" s="143">
      <c r="A44" s="167" t="inlineStr">
        <is>
          <t>For 1065 (partnerships): Same strategies apply. Replace 'officer salary' with 'guaranteed payments' (1065 Ln 10). Replace M-2 (AAA/OAA) with Partners' Capital Account analysis (Sch K-1 Item L). Replace 7203 with partner basis worksheet.</t>
        </is>
      </c>
    </row>
    <row r="45" ht="27.75" customHeight="1" s="143">
      <c r="A45" s="167" t="inlineStr">
        <is>
          <t>DISCLAIMER: Tax strategies must be evaluated per-client. Not all strategies apply to every client. Some strategies interact (e.g., officer salary affects §199A, retirement contribution limits, and FICA). Model the full impact before implementing. Document everything.</t>
        </is>
      </c>
    </row>
  </sheetData>
  <mergeCells count="12">
    <mergeCell ref="A43:I43"/>
    <mergeCell ref="A2:I2"/>
    <mergeCell ref="A10:I10"/>
    <mergeCell ref="A13:I13"/>
    <mergeCell ref="A44:I44"/>
    <mergeCell ref="A45:I45"/>
    <mergeCell ref="A17:I17"/>
    <mergeCell ref="A1:I1"/>
    <mergeCell ref="A23:I23"/>
    <mergeCell ref="A3:I3"/>
    <mergeCell ref="A6:I6"/>
    <mergeCell ref="A20:I2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2026-03-11T06:28:21Z</dcterms:created>
  <dcterms:modified xsi:type="dcterms:W3CDTF">2026-03-16T09:10:49Z</dcterms:modified>
  <cp:lastModifiedBy>Tanner Settles</cp:lastModifiedBy>
  <cp:revision>0</cp:revision>
  <cp:lastPrinted>2026-03-16T04:24:24Z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0x01010044C4BBBB43AEC44590C9C76B3E227ACC</vt:lpwstr>
  </property>
</Properties>
</file>