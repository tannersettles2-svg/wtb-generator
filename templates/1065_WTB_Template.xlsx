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lient Books" sheetId="1" state="visible" r:id="rId1"/>
    <sheet name="Working Trial Balance" sheetId="2" state="visible" r:id="rId2"/>
    <sheet name="Sch K Workpaper" sheetId="3" state="visible" r:id="rId3"/>
    <sheet name="M-1 Workpaper" sheetId="4" state="visible" r:id="rId4"/>
    <sheet name="M-2 Workpaper" sheetId="5" state="visible" r:id="rId5"/>
    <sheet name="M-3 Workpaper" sheetId="6" state="visible" r:id="rId6"/>
    <sheet name="Adjustments Workpaper" sheetId="7" state="visible" r:id="rId7"/>
    <sheet name="Tax Strategies Workpaper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\+#,##0;\-#,##0;0"/>
    <numFmt numFmtId="166" formatCode="#,##0.00;(#,##0.00);&quot;-&quot;"/>
  </numFmts>
  <fonts count="4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474D"/>
      <sz val="14"/>
    </font>
    <font>
      <name val="Calibri"/>
      <charset val="1"/>
      <family val="0"/>
      <color rgb="FF666666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b val="1"/>
      <color rgb="FFCC0000"/>
      <sz val="10"/>
    </font>
    <font>
      <name val="Calibri"/>
      <charset val="1"/>
      <family val="0"/>
      <b val="1"/>
      <sz val="11"/>
    </font>
    <font>
      <name val="Calibri"/>
      <charset val="1"/>
      <family val="0"/>
      <b val="1"/>
      <sz val="10"/>
    </font>
    <font>
      <name val="Calibri"/>
      <charset val="1"/>
      <family val="0"/>
      <b val="1"/>
      <color rgb="FFFF0000"/>
      <sz val="10"/>
    </font>
    <font>
      <name val="Calibri"/>
      <charset val="1"/>
      <family val="0"/>
      <color rgb="FF666666"/>
      <sz val="9"/>
    </font>
    <font>
      <name val="Calibri"/>
      <charset val="1"/>
      <family val="0"/>
      <b val="1"/>
      <sz val="9"/>
    </font>
    <font>
      <name val="Calibri"/>
      <charset val="1"/>
      <family val="0"/>
      <sz val="9"/>
    </font>
    <font>
      <name val="Calibri"/>
      <charset val="1"/>
      <family val="0"/>
      <color rgb="FF0000FF"/>
      <sz val="9"/>
    </font>
    <font>
      <name val="Calibri"/>
      <charset val="1"/>
      <family val="0"/>
      <b val="1"/>
      <color rgb="FFCC0000"/>
      <sz val="9"/>
    </font>
    <font>
      <name val="Calibri"/>
      <charset val="1"/>
      <family val="0"/>
      <color rgb="FF008000"/>
      <sz val="9"/>
    </font>
    <font>
      <name val="Calibri"/>
      <charset val="1"/>
      <family val="0"/>
      <color rgb="FF20808D"/>
      <sz val="9"/>
    </font>
    <font>
      <name val="Calibri"/>
      <charset val="1"/>
      <family val="0"/>
      <b val="1"/>
      <color rgb="FFFF0000"/>
      <sz val="12"/>
    </font>
    <font>
      <name val="Calibri"/>
      <charset val="1"/>
      <family val="0"/>
      <color rgb="FF888888"/>
      <sz val="9"/>
    </font>
    <font>
      <name val="Calibri"/>
      <charset val="1"/>
      <family val="0"/>
      <color rgb="FF008000"/>
      <sz val="10"/>
    </font>
    <font>
      <name val="Calibri"/>
      <charset val="1"/>
      <family val="0"/>
      <i val="1"/>
      <color rgb="FF888888"/>
      <sz val="9"/>
    </font>
    <font>
      <name val="Calibri"/>
      <charset val="1"/>
      <family val="0"/>
      <b val="1"/>
      <color rgb="FF1F4E79"/>
      <sz val="14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color rgb="FF333333"/>
      <sz val="9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4E79"/>
      <sz val="11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008000"/>
      <sz val="10"/>
    </font>
    <font>
      <name val="Calibri"/>
      <charset val="1"/>
      <family val="0"/>
      <b val="1"/>
      <color rgb="FFC65911"/>
      <sz val="10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666666"/>
      <sz val="10"/>
    </font>
    <font>
      <color rgb="000000FF"/>
    </font>
    <font>
      <i val="1"/>
      <color rgb="00999999"/>
    </font>
    <font>
      <name val="Calibri"/>
      <b val="1"/>
      <color rgb="00F07840"/>
      <sz val="12"/>
    </font>
    <font>
      <name val="Calibri"/>
      <i val="1"/>
      <color rgb="00666666"/>
      <sz val="9"/>
    </font>
    <font>
      <name val="Calibri"/>
      <b val="1"/>
      <color rgb="00F07840"/>
      <sz val="10"/>
    </font>
    <font>
      <name val="Calibri"/>
      <b val="1"/>
      <sz val="10"/>
    </font>
    <font>
      <name val="Calibri"/>
      <b val="1"/>
      <color rgb="00333333"/>
      <sz val="14"/>
    </font>
    <font>
      <name val="Calibri"/>
      <i val="1"/>
      <color rgb="00808080"/>
      <sz val="9"/>
    </font>
    <font>
      <name val="Calibri"/>
      <b val="1"/>
      <color rgb="00333333"/>
      <sz val="9"/>
    </font>
    <font>
      <name val="Calibri"/>
      <b val="1"/>
      <color rgb="00C65102"/>
      <sz val="11"/>
    </font>
    <font>
      <name val="Calibri"/>
      <color rgb="00666666"/>
      <sz val="9"/>
    </font>
    <font>
      <name val="Calibri"/>
      <sz val="10"/>
    </font>
  </fonts>
  <fills count="20">
    <fill>
      <patternFill/>
    </fill>
    <fill>
      <patternFill patternType="gray125"/>
    </fill>
    <fill>
      <patternFill patternType="solid">
        <fgColor rgb="FF1B474D"/>
        <bgColor rgb="FF1F4E79"/>
      </patternFill>
    </fill>
    <fill>
      <patternFill patternType="solid">
        <fgColor rgb="FF20808D"/>
        <bgColor rgb="FF008080"/>
      </patternFill>
    </fill>
    <fill>
      <patternFill patternType="solid">
        <fgColor rgb="FFFFF2C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E8E8E8"/>
      </patternFill>
    </fill>
    <fill>
      <patternFill patternType="solid">
        <fgColor rgb="FFE2EFDA"/>
        <bgColor rgb="FFE8E8E8"/>
      </patternFill>
    </fill>
    <fill>
      <patternFill patternType="solid">
        <fgColor rgb="FF1F4E79"/>
        <bgColor rgb="FF1B474D"/>
      </patternFill>
    </fill>
    <fill>
      <patternFill patternType="solid">
        <fgColor rgb="FF4472C4"/>
        <bgColor rgb="FF20808D"/>
      </patternFill>
    </fill>
    <fill>
      <patternFill patternType="solid">
        <fgColor rgb="FFD9E2F3"/>
        <bgColor rgb="FFE8E8E8"/>
      </patternFill>
    </fill>
    <fill>
      <patternFill patternType="solid">
        <fgColor rgb="FFFCE4D6"/>
        <bgColor rgb="FFFFF2CC"/>
      </patternFill>
    </fill>
    <fill>
      <patternFill patternType="solid">
        <fgColor rgb="FFE8E8E8"/>
        <bgColor rgb="FFE2EFDA"/>
      </patternFill>
    </fill>
    <fill>
      <patternFill patternType="solid">
        <fgColor rgb="00FFFF00"/>
      </patternFill>
    </fill>
    <fill>
      <patternFill patternType="solid">
        <fgColor rgb="00FFF8E7"/>
        <bgColor rgb="00FFF8E7"/>
      </patternFill>
    </fill>
    <fill>
      <patternFill patternType="solid">
        <fgColor rgb="00F0F0F0"/>
        <bgColor rgb="00F0F0F0"/>
      </patternFill>
    </fill>
    <fill>
      <patternFill patternType="solid">
        <fgColor rgb="00E0E0E0"/>
      </patternFill>
    </fill>
    <fill>
      <patternFill patternType="solid">
        <fgColor rgb="00FDE9D9"/>
      </patternFill>
    </fill>
    <fill>
      <patternFill patternType="solid">
        <fgColor rgb="00FFF8E7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 style="double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bottom style="medium">
        <color rgb="0080808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10" fillId="6" borderId="2" applyAlignment="1" pivotButton="0" quotePrefix="0" xfId="0">
      <alignment horizontal="general" vertical="bottom"/>
    </xf>
    <xf numFmtId="164" fontId="10" fillId="6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5" fillId="7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164" fontId="7" fillId="4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top" wrapText="1"/>
    </xf>
    <xf numFmtId="164" fontId="20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bottom"/>
    </xf>
    <xf numFmtId="0" fontId="20" fillId="7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22" fillId="0" borderId="1" applyAlignment="1" pivotButton="0" quotePrefix="0" xfId="0">
      <alignment horizontal="left" vertical="center"/>
    </xf>
    <xf numFmtId="164" fontId="22" fillId="7" borderId="1" applyAlignment="1" pivotButton="0" quotePrefix="0" xfId="0">
      <alignment horizontal="right" vertical="center"/>
    </xf>
    <xf numFmtId="164" fontId="22" fillId="0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left" vertical="bottom" wrapText="1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8" borderId="0" applyAlignment="1" pivotButton="0" quotePrefix="0" xfId="0">
      <alignment horizontal="left" vertical="center"/>
    </xf>
    <xf numFmtId="0" fontId="28" fillId="9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indent="1"/>
    </xf>
    <xf numFmtId="0" fontId="26" fillId="0" borderId="1" applyAlignment="1" pivotButton="0" quotePrefix="0" xfId="0">
      <alignment horizontal="left" vertical="top" wrapText="1" indent="1"/>
    </xf>
    <xf numFmtId="0" fontId="13" fillId="0" borderId="1" applyAlignment="1" pivotButton="0" quotePrefix="0" xfId="0">
      <alignment horizontal="center" vertical="center"/>
    </xf>
    <xf numFmtId="3" fontId="22" fillId="4" borderId="1" applyAlignment="1" pivotButton="0" quotePrefix="0" xfId="0">
      <alignment horizontal="right" vertical="center"/>
    </xf>
    <xf numFmtId="165" fontId="22" fillId="4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 indent="1"/>
    </xf>
    <xf numFmtId="165" fontId="8" fillId="0" borderId="1" applyAlignment="1" pivotButton="0" quotePrefix="0" xfId="0">
      <alignment horizontal="right" vertical="center"/>
    </xf>
    <xf numFmtId="0" fontId="29" fillId="10" borderId="1" applyAlignment="1" pivotButton="0" quotePrefix="0" xfId="0">
      <alignment horizontal="left" vertical="center" indent="1"/>
    </xf>
    <xf numFmtId="3" fontId="32" fillId="10" borderId="1" applyAlignment="1" pivotButton="0" quotePrefix="0" xfId="0">
      <alignment horizontal="right" vertical="center"/>
    </xf>
    <xf numFmtId="165" fontId="32" fillId="1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general" vertical="bottom"/>
    </xf>
    <xf numFmtId="3" fontId="32" fillId="7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left" vertical="center" indent="1"/>
    </xf>
    <xf numFmtId="0" fontId="31" fillId="0" borderId="1" applyAlignment="1" pivotButton="0" quotePrefix="0" xfId="0">
      <alignment horizontal="general" vertical="bottom"/>
    </xf>
    <xf numFmtId="3" fontId="22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5" fontId="22" fillId="0" borderId="1" applyAlignment="1" pivotButton="0" quotePrefix="0" xfId="0">
      <alignment horizontal="right" vertical="center"/>
    </xf>
    <xf numFmtId="0" fontId="32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 indent="1"/>
    </xf>
    <xf numFmtId="0" fontId="33" fillId="11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2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left" vertical="top" wrapText="1" indent="1"/>
    </xf>
    <xf numFmtId="0" fontId="34" fillId="0" borderId="1" applyAlignment="1" pivotButton="0" quotePrefix="0" xfId="0">
      <alignment horizontal="left" vertical="top" wrapText="1" indent="1"/>
    </xf>
    <xf numFmtId="0" fontId="35" fillId="12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36" fillId="1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6" borderId="2" applyAlignment="1" pivotButton="0" quotePrefix="0" xfId="0">
      <alignment horizontal="general" vertical="bottom"/>
    </xf>
    <xf numFmtId="164" fontId="10" fillId="6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5" fillId="7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164" fontId="7" fillId="4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top" wrapText="1"/>
    </xf>
    <xf numFmtId="164" fontId="20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bottom"/>
    </xf>
    <xf numFmtId="0" fontId="20" fillId="7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22" fillId="0" borderId="1" applyAlignment="1" pivotButton="0" quotePrefix="0" xfId="0">
      <alignment horizontal="left" vertical="center"/>
    </xf>
    <xf numFmtId="164" fontId="22" fillId="7" borderId="1" applyAlignment="1" pivotButton="0" quotePrefix="0" xfId="0">
      <alignment horizontal="right" vertical="center"/>
    </xf>
    <xf numFmtId="164" fontId="22" fillId="0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left" vertical="bottom" wrapText="1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8" borderId="0" applyAlignment="1" pivotButton="0" quotePrefix="0" xfId="0">
      <alignment horizontal="left" vertical="center"/>
    </xf>
    <xf numFmtId="0" fontId="28" fillId="9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3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indent="1"/>
    </xf>
    <xf numFmtId="0" fontId="26" fillId="0" borderId="1" applyAlignment="1" pivotButton="0" quotePrefix="0" xfId="0">
      <alignment horizontal="left" vertical="top" wrapText="1" indent="1"/>
    </xf>
    <xf numFmtId="0" fontId="13" fillId="0" borderId="1" applyAlignment="1" pivotButton="0" quotePrefix="0" xfId="0">
      <alignment horizontal="center" vertical="center"/>
    </xf>
    <xf numFmtId="3" fontId="22" fillId="4" borderId="1" applyAlignment="1" pivotButton="0" quotePrefix="0" xfId="0">
      <alignment horizontal="right" vertical="center"/>
    </xf>
    <xf numFmtId="165" fontId="22" fillId="4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 indent="1"/>
    </xf>
    <xf numFmtId="165" fontId="8" fillId="0" borderId="1" applyAlignment="1" pivotButton="0" quotePrefix="0" xfId="0">
      <alignment horizontal="right" vertical="center"/>
    </xf>
    <xf numFmtId="0" fontId="29" fillId="10" borderId="1" applyAlignment="1" pivotButton="0" quotePrefix="0" xfId="0">
      <alignment horizontal="left" vertical="center" indent="1"/>
    </xf>
    <xf numFmtId="3" fontId="32" fillId="10" borderId="1" applyAlignment="1" pivotButton="0" quotePrefix="0" xfId="0">
      <alignment horizontal="right" vertical="center"/>
    </xf>
    <xf numFmtId="165" fontId="32" fillId="1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general" vertical="bottom"/>
    </xf>
    <xf numFmtId="3" fontId="32" fillId="7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left" vertical="center" indent="1"/>
    </xf>
    <xf numFmtId="0" fontId="31" fillId="0" borderId="1" applyAlignment="1" pivotButton="0" quotePrefix="0" xfId="0">
      <alignment horizontal="general" vertical="bottom"/>
    </xf>
    <xf numFmtId="3" fontId="22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5" fontId="22" fillId="0" borderId="1" applyAlignment="1" pivotButton="0" quotePrefix="0" xfId="0">
      <alignment horizontal="right" vertical="center"/>
    </xf>
    <xf numFmtId="0" fontId="32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 indent="1"/>
    </xf>
    <xf numFmtId="0" fontId="33" fillId="11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2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left" vertical="top" wrapText="1" indent="1"/>
    </xf>
    <xf numFmtId="0" fontId="34" fillId="0" borderId="1" applyAlignment="1" pivotButton="0" quotePrefix="0" xfId="0">
      <alignment horizontal="left" vertical="top" wrapText="1" indent="1"/>
    </xf>
    <xf numFmtId="0" fontId="35" fillId="12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indent="1"/>
    </xf>
    <xf numFmtId="0" fontId="37" fillId="0" borderId="1" applyAlignment="1" pivotButton="0" quotePrefix="0" xfId="0">
      <alignment horizontal="left" vertical="top" wrapText="1"/>
    </xf>
    <xf numFmtId="0" fontId="37" fillId="5" borderId="1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center" vertical="bottom"/>
    </xf>
    <xf numFmtId="0" fontId="40" fillId="3" borderId="1" applyAlignment="1" pivotButton="0" quotePrefix="0" xfId="0">
      <alignment horizontal="left" vertical="center"/>
    </xf>
    <xf numFmtId="164" fontId="36" fillId="14" borderId="8" applyAlignment="1" pivotButton="0" quotePrefix="0" xfId="0">
      <alignment horizontal="right" vertical="center"/>
    </xf>
    <xf numFmtId="0" fontId="0" fillId="14" borderId="8" applyAlignment="1" pivotButton="0" quotePrefix="0" xfId="0">
      <alignment horizontal="general" vertical="bottom"/>
    </xf>
    <xf numFmtId="0" fontId="41" fillId="6" borderId="2" applyAlignment="1" pivotButton="0" quotePrefix="0" xfId="0">
      <alignment horizontal="general" vertical="bottom"/>
    </xf>
    <xf numFmtId="164" fontId="10" fillId="15" borderId="9" applyAlignment="1" pivotButton="0" quotePrefix="0" xfId="0">
      <alignment horizontal="general" vertical="bottom"/>
    </xf>
    <xf numFmtId="0" fontId="41" fillId="0" borderId="0" pivotButton="0" quotePrefix="0" xfId="0"/>
    <xf numFmtId="0" fontId="40" fillId="0" borderId="0" applyAlignment="1" pivotButton="0" quotePrefix="0" xfId="0">
      <alignment horizontal="center" vertical="bottom"/>
    </xf>
    <xf numFmtId="0" fontId="41" fillId="3" borderId="1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bottom" wrapText="1"/>
    </xf>
    <xf numFmtId="0" fontId="40" fillId="10" borderId="1" applyAlignment="1" pivotButton="0" quotePrefix="0" xfId="0">
      <alignment horizontal="left" vertical="center"/>
    </xf>
    <xf numFmtId="0" fontId="41" fillId="10" borderId="1" applyAlignment="1" pivotButton="0" quotePrefix="0" xfId="0">
      <alignment horizontal="left" vertical="center" indent="1"/>
    </xf>
    <xf numFmtId="3" fontId="32" fillId="15" borderId="9" applyAlignment="1" pivotButton="0" quotePrefix="0" xfId="0">
      <alignment horizontal="right" vertical="center"/>
    </xf>
    <xf numFmtId="165" fontId="32" fillId="15" borderId="9" applyAlignment="1" pivotButton="0" quotePrefix="0" xfId="0">
      <alignment horizontal="right" vertical="center"/>
    </xf>
    <xf numFmtId="0" fontId="41" fillId="0" borderId="0" applyAlignment="1" pivotButton="0" quotePrefix="0" xfId="0">
      <alignment horizontal="general" vertical="bottom"/>
    </xf>
    <xf numFmtId="0" fontId="40" fillId="0" borderId="1" applyAlignment="1" pivotButton="0" quotePrefix="0" xfId="0">
      <alignment horizontal="left" vertical="center" indent="1"/>
    </xf>
    <xf numFmtId="0" fontId="41" fillId="0" borderId="1" applyAlignment="1" pivotButton="0" quotePrefix="0" xfId="0">
      <alignment horizontal="left" vertical="center" indent="1"/>
    </xf>
    <xf numFmtId="3" fontId="22" fillId="15" borderId="9" applyAlignment="1" pivotButton="0" quotePrefix="0" xfId="0">
      <alignment horizontal="right" vertical="center"/>
    </xf>
    <xf numFmtId="165" fontId="22" fillId="15" borderId="9" applyAlignment="1" pivotButton="0" quotePrefix="0" xfId="0">
      <alignment horizontal="right" vertical="center"/>
    </xf>
    <xf numFmtId="0" fontId="13" fillId="15" borderId="9" applyAlignment="1" pivotButton="0" quotePrefix="0" xfId="0">
      <alignment horizontal="center" vertical="center"/>
    </xf>
    <xf numFmtId="0" fontId="32" fillId="15" borderId="9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bottom"/>
    </xf>
    <xf numFmtId="0" fontId="43" fillId="0" borderId="0" applyAlignment="1" pivotButton="0" quotePrefix="0" xfId="0">
      <alignment horizontal="center" vertical="bottom"/>
    </xf>
    <xf numFmtId="0" fontId="44" fillId="16" borderId="10" applyAlignment="1" pivotButton="0" quotePrefix="0" xfId="0">
      <alignment horizontal="center" vertical="center"/>
    </xf>
    <xf numFmtId="0" fontId="45" fillId="17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4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left" vertical="center"/>
    </xf>
    <xf numFmtId="166" fontId="36" fillId="18" borderId="10" applyAlignment="1" pivotButton="0" quotePrefix="0" xfId="0">
      <alignment horizontal="right" vertical="center"/>
    </xf>
    <xf numFmtId="166" fontId="0" fillId="18" borderId="10" applyAlignment="1" pivotButton="0" quotePrefix="0" xfId="0">
      <alignment horizontal="right" vertical="center"/>
    </xf>
    <xf numFmtId="0" fontId="47" fillId="5" borderId="1" applyAlignment="1" pivotButton="0" quotePrefix="0" xfId="0">
      <alignment horizontal="left" vertical="center"/>
    </xf>
    <xf numFmtId="0" fontId="47" fillId="6" borderId="2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 vertical="center"/>
    </xf>
    <xf numFmtId="0" fontId="41" fillId="17" borderId="1" applyAlignment="1" pivotButton="0" quotePrefix="0" xfId="0">
      <alignment horizontal="left" vertical="center"/>
    </xf>
    <xf numFmtId="166" fontId="6" fillId="17" borderId="10" applyAlignment="1" pivotButton="0" quotePrefix="0" xfId="0">
      <alignment horizontal="right" vertical="center"/>
    </xf>
    <xf numFmtId="166" fontId="7" fillId="4" borderId="10" applyAlignment="1" pivotButton="0" quotePrefix="0" xfId="0">
      <alignment horizontal="right" vertical="center"/>
    </xf>
    <xf numFmtId="166" fontId="18" fillId="0" borderId="10" applyAlignment="1" pivotButton="0" quotePrefix="0" xfId="0">
      <alignment horizontal="right" vertical="center"/>
    </xf>
    <xf numFmtId="166" fontId="36" fillId="13" borderId="10" applyAlignment="1" pivotButton="0" quotePrefix="0" xfId="0">
      <alignment horizontal="right" vertical="center"/>
    </xf>
    <xf numFmtId="166" fontId="7" fillId="0" borderId="10" applyAlignment="1" pivotButton="0" quotePrefix="0" xfId="0">
      <alignment horizontal="right" vertical="center"/>
    </xf>
    <xf numFmtId="166" fontId="19" fillId="0" borderId="10" applyAlignment="1" pivotButton="0" quotePrefix="0" xfId="0">
      <alignment horizontal="right" vertical="center"/>
    </xf>
    <xf numFmtId="166" fontId="37" fillId="0" borderId="10" applyAlignment="1" pivotButton="0" quotePrefix="0" xfId="0">
      <alignment horizontal="right" vertical="center"/>
    </xf>
    <xf numFmtId="166" fontId="0" fillId="0" borderId="10" applyAlignment="1" pivotButton="0" quotePrefix="0" xfId="0">
      <alignment horizontal="right" vertical="center"/>
    </xf>
    <xf numFmtId="0" fontId="41" fillId="0" borderId="1" applyAlignment="1" pivotButton="0" quotePrefix="0" xfId="0">
      <alignment horizontal="center" vertical="center"/>
    </xf>
    <xf numFmtId="166" fontId="41" fillId="19" borderId="10" applyAlignment="1" pivotButton="0" quotePrefix="0" xfId="0">
      <alignment horizontal="right" vertical="center"/>
    </xf>
    <xf numFmtId="166" fontId="9" fillId="5" borderId="10" applyAlignment="1" pivotButton="0" quotePrefix="0" xfId="0">
      <alignment horizontal="right" vertical="center"/>
    </xf>
    <xf numFmtId="166" fontId="37" fillId="5" borderId="10" applyAlignment="1" pivotButton="0" quotePrefix="0" xfId="0">
      <alignment horizontal="right" vertical="center"/>
    </xf>
    <xf numFmtId="166" fontId="13" fillId="0" borderId="10" applyAlignment="1" pivotButton="0" quotePrefix="0" xfId="0">
      <alignment horizontal="right" vertical="center"/>
    </xf>
    <xf numFmtId="166" fontId="10" fillId="6" borderId="10" applyAlignment="1" pivotButton="0" quotePrefix="0" xfId="0">
      <alignment horizontal="right" vertical="center"/>
    </xf>
    <xf numFmtId="166" fontId="20" fillId="7" borderId="10" applyAlignment="1" pivotButton="0" quotePrefix="0" xfId="0">
      <alignment horizontal="right" vertical="center"/>
    </xf>
    <xf numFmtId="0" fontId="45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left" vertical="center"/>
    </xf>
    <xf numFmtId="166" fontId="10" fillId="17" borderId="10" applyAlignment="1" pivotButton="0" quotePrefix="0" xfId="0">
      <alignment horizontal="right" vertical="center"/>
    </xf>
    <xf numFmtId="166" fontId="0" fillId="17" borderId="10" applyAlignment="1" pivotButton="0" quotePrefix="0" xfId="0">
      <alignment horizontal="right" vertical="center"/>
    </xf>
    <xf numFmtId="166" fontId="7" fillId="17" borderId="10" applyAlignment="1" pivotButton="0" quotePrefix="0" xfId="0">
      <alignment horizontal="right" vertical="center"/>
    </xf>
    <xf numFmtId="166" fontId="19" fillId="17" borderId="10" applyAlignment="1" pivotButton="0" quotePrefix="0" xfId="0">
      <alignment horizontal="right" vertical="center"/>
    </xf>
    <xf numFmtId="166" fontId="13" fillId="17" borderId="10" applyAlignment="1" pivotButton="0" quotePrefix="0" xfId="0">
      <alignment horizontal="right" vertical="center"/>
    </xf>
    <xf numFmtId="166" fontId="7" fillId="7" borderId="10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166" fontId="20" fillId="17" borderId="10" applyAlignment="1" pivotButton="0" quotePrefix="0" xfId="0">
      <alignment horizontal="right" vertical="center"/>
    </xf>
    <xf numFmtId="0" fontId="45" fillId="17" borderId="0" applyAlignment="1" pivotButton="0" quotePrefix="0" xfId="0">
      <alignment horizontal="center" vertical="bottom"/>
    </xf>
    <xf numFmtId="0" fontId="0" fillId="17" borderId="0" pivotButton="0" quotePrefix="0" xfId="0"/>
    <xf numFmtId="0" fontId="47" fillId="0" borderId="0" applyAlignment="1" pivotButton="0" quotePrefix="0" xfId="0">
      <alignment horizontal="center" vertical="bottom"/>
    </xf>
    <xf numFmtId="0" fontId="47" fillId="2" borderId="1" applyAlignment="1" pivotButton="0" quotePrefix="0" xfId="0">
      <alignment horizontal="center" vertical="center" wrapText="1"/>
    </xf>
    <xf numFmtId="166" fontId="6" fillId="2" borderId="10" applyAlignment="1" pivotButton="0" quotePrefix="0" xfId="0">
      <alignment horizontal="right" vertical="center"/>
    </xf>
    <xf numFmtId="0" fontId="47" fillId="3" borderId="1" applyAlignment="1" pivotButton="0" quotePrefix="0" xfId="0">
      <alignment horizontal="left" vertical="center"/>
    </xf>
    <xf numFmtId="166" fontId="13" fillId="6" borderId="10" applyAlignment="1" pivotButton="0" quotePrefix="0" xfId="0">
      <alignment horizontal="right" vertical="center"/>
    </xf>
    <xf numFmtId="166" fontId="17" fillId="5" borderId="10" applyAlignment="1" pivotButton="0" quotePrefix="0" xfId="0">
      <alignment horizontal="right" vertical="center"/>
    </xf>
    <xf numFmtId="166" fontId="11" fillId="0" borderId="10" applyAlignment="1" pivotButton="0" quotePrefix="0" xfId="0">
      <alignment horizontal="right" vertical="center"/>
    </xf>
    <xf numFmtId="166" fontId="11" fillId="7" borderId="10" applyAlignment="1" pivotButton="0" quotePrefix="0" xfId="0">
      <alignment horizontal="right" vertical="center"/>
    </xf>
    <xf numFmtId="166" fontId="10" fillId="4" borderId="10" applyAlignment="1" pivotButton="0" quotePrefix="0" xfId="0">
      <alignment horizontal="right" vertical="center"/>
    </xf>
    <xf numFmtId="166" fontId="11" fillId="4" borderId="10" applyAlignment="1" pivotButton="0" quotePrefix="0" xfId="0">
      <alignment horizontal="right" vertical="center"/>
    </xf>
    <xf numFmtId="166" fontId="22" fillId="0" borderId="10" applyAlignment="1" pivotButton="0" quotePrefix="0" xfId="0">
      <alignment horizontal="right" vertical="center"/>
    </xf>
    <xf numFmtId="166" fontId="22" fillId="7" borderId="10" applyAlignment="1" pivotButton="0" quotePrefix="0" xfId="0">
      <alignment horizontal="right" vertical="center"/>
    </xf>
    <xf numFmtId="166" fontId="41" fillId="19" borderId="9" applyAlignment="1" pivotButton="0" quotePrefix="0" xfId="0">
      <alignment horizontal="right" vertical="center"/>
    </xf>
    <xf numFmtId="166" fontId="13" fillId="7" borderId="10" applyAlignment="1" pivotButton="0" quotePrefix="0" xfId="0">
      <alignment horizontal="right" vertical="center"/>
    </xf>
    <xf numFmtId="0" fontId="47" fillId="0" borderId="0" applyAlignment="1" pivotButton="0" quotePrefix="0" xfId="0">
      <alignment horizontal="general" vertical="bottom"/>
    </xf>
    <xf numFmtId="0" fontId="45" fillId="17" borderId="0" applyAlignment="1" pivotButton="0" quotePrefix="0" xfId="0">
      <alignment horizontal="left" vertical="center"/>
    </xf>
    <xf numFmtId="0" fontId="47" fillId="9" borderId="1" applyAlignment="1" pivotButton="0" quotePrefix="0" xfId="0">
      <alignment horizontal="center" vertical="center"/>
    </xf>
    <xf numFmtId="166" fontId="28" fillId="9" borderId="10" applyAlignment="1" pivotButton="0" quotePrefix="0" xfId="0">
      <alignment horizontal="right" vertical="center"/>
    </xf>
    <xf numFmtId="0" fontId="0" fillId="17" borderId="6" pivotButton="0" quotePrefix="0" xfId="0"/>
    <xf numFmtId="0" fontId="0" fillId="17" borderId="7" pivotButton="0" quotePrefix="0" xfId="0"/>
    <xf numFmtId="0" fontId="47" fillId="0" borderId="1" applyAlignment="1" pivotButton="0" quotePrefix="0" xfId="0">
      <alignment horizontal="center" vertical="center"/>
    </xf>
    <xf numFmtId="166" fontId="30" fillId="0" borderId="10" applyAlignment="1" pivotButton="0" quotePrefix="0" xfId="0">
      <alignment horizontal="right" vertical="center"/>
    </xf>
    <xf numFmtId="166" fontId="26" fillId="0" borderId="10" applyAlignment="1" pivotButton="0" quotePrefix="0" xfId="0">
      <alignment horizontal="right" vertical="center"/>
    </xf>
    <xf numFmtId="166" fontId="22" fillId="4" borderId="10" applyAlignment="1" pivotButton="0" quotePrefix="0" xfId="0">
      <alignment horizontal="right" vertical="center"/>
    </xf>
    <xf numFmtId="166" fontId="31" fillId="0" borderId="10" applyAlignment="1" pivotButton="0" quotePrefix="0" xfId="0">
      <alignment horizontal="right" vertical="center"/>
    </xf>
    <xf numFmtId="166" fontId="8" fillId="0" borderId="10" applyAlignment="1" pivotButton="0" quotePrefix="0" xfId="0">
      <alignment horizontal="right" vertical="center"/>
    </xf>
    <xf numFmtId="0" fontId="47" fillId="1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left" vertical="center" indent="1"/>
    </xf>
    <xf numFmtId="166" fontId="32" fillId="0" borderId="10" applyAlignment="1" pivotButton="0" quotePrefix="0" xfId="0">
      <alignment horizontal="right" vertical="center"/>
    </xf>
    <xf numFmtId="0" fontId="45" fillId="17" borderId="1" applyAlignment="1" pivotButton="0" quotePrefix="0" xfId="0">
      <alignment horizontal="left" vertical="center" indent="1"/>
    </xf>
    <xf numFmtId="166" fontId="22" fillId="17" borderId="10" applyAlignment="1" pivotButton="0" quotePrefix="0" xfId="0">
      <alignment horizontal="right" vertical="center"/>
    </xf>
    <xf numFmtId="166" fontId="32" fillId="17" borderId="10" applyAlignment="1" pivotButton="0" quotePrefix="0" xfId="0">
      <alignment horizontal="right" vertical="center"/>
    </xf>
    <xf numFmtId="0" fontId="47" fillId="8" borderId="0" applyAlignment="1" pivotButton="0" quotePrefix="0" xfId="0">
      <alignment horizontal="left" vertical="center"/>
    </xf>
    <xf numFmtId="0" fontId="47" fillId="11" borderId="1" applyAlignment="1" pivotButton="0" quotePrefix="0" xfId="0">
      <alignment horizontal="left" vertical="center"/>
    </xf>
    <xf numFmtId="166" fontId="34" fillId="0" borderId="10" applyAlignment="1" pivotButton="0" quotePrefix="0" xfId="0">
      <alignment horizontal="right" vertical="center"/>
    </xf>
    <xf numFmtId="0" fontId="47" fillId="12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20808D"/>
      <rgbColor rgb="FFC0C0C0"/>
      <rgbColor rgb="FF888888"/>
      <rgbColor rgb="FF9999FF"/>
      <rgbColor rgb="FF7030A0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E2EFDA"/>
      <rgbColor rgb="FFFCE4D6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666666"/>
      <rgbColor rgb="FF969696"/>
      <rgbColor rgb="FF1B474D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03" min="1" max="1"/>
    <col width="42" customWidth="1" style="103" min="2" max="2"/>
    <col width="16" customWidth="1" style="103" min="3" max="4"/>
    <col width="16" customWidth="1" style="104" min="4" max="4"/>
  </cols>
  <sheetData>
    <row r="1" ht="17.25" customHeight="1" s="104">
      <c r="A1" s="231" t="inlineStr">
        <is>
          <t>[ENTITY NAME]</t>
        </is>
      </c>
    </row>
    <row r="2" ht="15" customHeight="1" s="104">
      <c r="A2" s="232" t="inlineStr">
        <is>
          <t>EIN: [XX-XXXXXXX]  |  Tax Year: [Start] - [End]  |  [Accrual/Cash] Basis  |  [#] Partners ([Split])</t>
        </is>
      </c>
    </row>
    <row r="3"/>
    <row r="4" ht="15" customHeight="1" s="104">
      <c r="A4" s="233" t="inlineStr">
        <is>
          <t>Acct #</t>
        </is>
      </c>
      <c r="B4" s="233" t="inlineStr">
        <is>
          <t>Account Name</t>
        </is>
      </c>
      <c r="C4" s="233" t="inlineStr">
        <is>
          <t>Debit</t>
        </is>
      </c>
      <c r="D4" s="233" t="inlineStr">
        <is>
          <t>Credit</t>
        </is>
      </c>
    </row>
    <row r="5" ht="21.75" customHeight="1" s="104">
      <c r="A5" s="234" t="inlineStr">
        <is>
          <t>ASSETS</t>
        </is>
      </c>
      <c r="B5" s="235" t="n"/>
      <c r="C5" s="235" t="n"/>
      <c r="D5" s="235" t="n"/>
    </row>
    <row r="6" ht="15" customHeight="1" s="104">
      <c r="A6" s="236" t="inlineStr">
        <is>
          <t>1000</t>
        </is>
      </c>
      <c r="B6" s="237" t="inlineStr">
        <is>
          <t>Cash - Operating</t>
        </is>
      </c>
      <c r="C6" s="238" t="n"/>
      <c r="D6" s="239" t="n"/>
    </row>
    <row r="7" ht="15" customHeight="1" s="104">
      <c r="A7" s="236" t="inlineStr">
        <is>
          <t>1010</t>
        </is>
      </c>
      <c r="B7" s="237" t="inlineStr">
        <is>
          <t>Cash - Savings</t>
        </is>
      </c>
      <c r="C7" s="238" t="n"/>
      <c r="D7" s="239" t="n"/>
    </row>
    <row r="8" ht="15" customHeight="1" s="104">
      <c r="A8" s="236" t="inlineStr">
        <is>
          <t>1050</t>
        </is>
      </c>
      <c r="B8" s="237" t="inlineStr">
        <is>
          <t>Petty Cash</t>
        </is>
      </c>
      <c r="C8" s="238" t="n"/>
      <c r="D8" s="239" t="n"/>
    </row>
    <row r="9" ht="15" customHeight="1" s="104">
      <c r="A9" s="236" t="inlineStr">
        <is>
          <t>1100</t>
        </is>
      </c>
      <c r="B9" s="237" t="inlineStr">
        <is>
          <t>Accounts Receivable</t>
        </is>
      </c>
      <c r="C9" s="238" t="n"/>
      <c r="D9" s="239" t="n"/>
    </row>
    <row r="10" ht="15" customHeight="1" s="104">
      <c r="A10" s="236" t="inlineStr">
        <is>
          <t>1110</t>
        </is>
      </c>
      <c r="B10" s="237" t="inlineStr">
        <is>
          <t>Allowance for Doubtful Accounts</t>
        </is>
      </c>
      <c r="C10" s="239" t="n"/>
      <c r="D10" s="238" t="n"/>
    </row>
    <row r="11" ht="15" customHeight="1" s="104">
      <c r="A11" s="236" t="inlineStr">
        <is>
          <t>1150</t>
        </is>
      </c>
      <c r="B11" s="237" t="inlineStr">
        <is>
          <t>Notes Receivable - Current</t>
        </is>
      </c>
      <c r="C11" s="238" t="n"/>
      <c r="D11" s="239" t="n"/>
    </row>
    <row r="12" ht="15" customHeight="1" s="104">
      <c r="A12" s="236" t="inlineStr">
        <is>
          <t>1200</t>
        </is>
      </c>
      <c r="B12" s="240" t="inlineStr">
        <is>
          <t>Inventory (MUST = PY Ending Inventory)</t>
        </is>
      </c>
      <c r="C12" s="238" t="n"/>
      <c r="D12" s="239" t="n"/>
    </row>
    <row r="13" ht="15" customHeight="1" s="104">
      <c r="A13" s="236" t="inlineStr">
        <is>
          <t>1250</t>
        </is>
      </c>
      <c r="B13" s="237" t="inlineStr">
        <is>
          <t>Prepaid Insurance</t>
        </is>
      </c>
      <c r="C13" s="238" t="n"/>
      <c r="D13" s="239" t="n"/>
    </row>
    <row r="14" ht="15" customHeight="1" s="104">
      <c r="A14" s="236" t="inlineStr">
        <is>
          <t>1260</t>
        </is>
      </c>
      <c r="B14" s="237" t="inlineStr">
        <is>
          <t>Prepaid Rent</t>
        </is>
      </c>
      <c r="C14" s="238" t="n"/>
      <c r="D14" s="239" t="n"/>
    </row>
    <row r="15" ht="15" customHeight="1" s="104">
      <c r="A15" s="236" t="inlineStr">
        <is>
          <t>1300</t>
        </is>
      </c>
      <c r="B15" s="237" t="inlineStr">
        <is>
          <t>Investments - Stocks (Short-term)</t>
        </is>
      </c>
      <c r="C15" s="238" t="n"/>
      <c r="D15" s="239" t="n"/>
    </row>
    <row r="16" ht="15" customHeight="1" s="104">
      <c r="A16" s="236" t="inlineStr">
        <is>
          <t>1310</t>
        </is>
      </c>
      <c r="B16" s="237" t="inlineStr">
        <is>
          <t>Investments - Municipal Bonds</t>
        </is>
      </c>
      <c r="C16" s="238" t="n"/>
      <c r="D16" s="239" t="n"/>
    </row>
    <row r="17" ht="15" customHeight="1" s="104">
      <c r="A17" s="236" t="inlineStr">
        <is>
          <t>1320</t>
        </is>
      </c>
      <c r="B17" s="237" t="inlineStr">
        <is>
          <t>Investments - Corporate Bonds</t>
        </is>
      </c>
      <c r="C17" s="238" t="n"/>
      <c r="D17" s="239" t="n"/>
    </row>
    <row r="18" ht="15" customHeight="1" s="104">
      <c r="A18" s="236" t="inlineStr">
        <is>
          <t>1400</t>
        </is>
      </c>
      <c r="B18" s="237" t="inlineStr">
        <is>
          <t>Loans to Partners</t>
        </is>
      </c>
      <c r="C18" s="238" t="n"/>
      <c r="D18" s="239" t="n"/>
    </row>
    <row r="19" ht="15" customHeight="1" s="104">
      <c r="A19" s="236" t="inlineStr">
        <is>
          <t>1500</t>
        </is>
      </c>
      <c r="B19" s="237" t="inlineStr">
        <is>
          <t>Land</t>
        </is>
      </c>
      <c r="C19" s="238" t="n"/>
      <c r="D19" s="239" t="n"/>
    </row>
    <row r="20" ht="15" customHeight="1" s="104">
      <c r="A20" s="236" t="inlineStr">
        <is>
          <t>1510</t>
        </is>
      </c>
      <c r="B20" s="237" t="inlineStr">
        <is>
          <t>Buildings</t>
        </is>
      </c>
      <c r="C20" s="238" t="n"/>
      <c r="D20" s="239" t="n"/>
    </row>
    <row r="21" ht="15" customHeight="1" s="104">
      <c r="A21" s="236" t="inlineStr">
        <is>
          <t>1515</t>
        </is>
      </c>
      <c r="B21" s="237" t="inlineStr">
        <is>
          <t>Accum Depreciation - Buildings</t>
        </is>
      </c>
      <c r="C21" s="239" t="n"/>
      <c r="D21" s="238" t="n"/>
    </row>
    <row r="22" ht="15" customHeight="1" s="104">
      <c r="A22" s="236" t="inlineStr">
        <is>
          <t>1520</t>
        </is>
      </c>
      <c r="B22" s="237" t="inlineStr">
        <is>
          <t>Furniture &amp; Fixtures</t>
        </is>
      </c>
      <c r="C22" s="238" t="n"/>
      <c r="D22" s="239" t="n"/>
    </row>
    <row r="23" ht="15" customHeight="1" s="104">
      <c r="A23" s="236" t="inlineStr">
        <is>
          <t>1525</t>
        </is>
      </c>
      <c r="B23" s="237" t="inlineStr">
        <is>
          <t>Accum Depreciation - Furn &amp; Fix</t>
        </is>
      </c>
      <c r="C23" s="239" t="n"/>
      <c r="D23" s="238" t="n"/>
    </row>
    <row r="24" ht="15" customHeight="1" s="104">
      <c r="A24" s="236" t="inlineStr">
        <is>
          <t>1530</t>
        </is>
      </c>
      <c r="B24" s="237" t="inlineStr">
        <is>
          <t>Vehicles</t>
        </is>
      </c>
      <c r="C24" s="238" t="n"/>
      <c r="D24" s="239" t="n"/>
    </row>
    <row r="25" ht="15" customHeight="1" s="104">
      <c r="A25" s="236" t="inlineStr">
        <is>
          <t>1535</t>
        </is>
      </c>
      <c r="B25" s="237" t="inlineStr">
        <is>
          <t>Accum Depreciation - Vehicles</t>
        </is>
      </c>
      <c r="C25" s="239" t="n"/>
      <c r="D25" s="238" t="n"/>
    </row>
    <row r="26" ht="15" customHeight="1" s="104">
      <c r="A26" s="236" t="inlineStr">
        <is>
          <t>1540</t>
        </is>
      </c>
      <c r="B26" s="237" t="inlineStr">
        <is>
          <t>Equipment</t>
        </is>
      </c>
      <c r="C26" s="238" t="n"/>
      <c r="D26" s="239" t="n"/>
    </row>
    <row r="27" ht="15" customHeight="1" s="104">
      <c r="A27" s="236" t="inlineStr">
        <is>
          <t>1545</t>
        </is>
      </c>
      <c r="B27" s="237" t="inlineStr">
        <is>
          <t>Accum Depreciation - Equipment</t>
        </is>
      </c>
      <c r="C27" s="239" t="n"/>
      <c r="D27" s="238" t="n"/>
    </row>
    <row r="28" ht="15" customHeight="1" s="104">
      <c r="A28" s="236" t="inlineStr">
        <is>
          <t>1550</t>
        </is>
      </c>
      <c r="B28" s="237" t="inlineStr">
        <is>
          <t>Leasehold Improvements</t>
        </is>
      </c>
      <c r="C28" s="238" t="n"/>
      <c r="D28" s="239" t="n"/>
    </row>
    <row r="29" ht="15" customHeight="1" s="104">
      <c r="A29" s="236" t="inlineStr">
        <is>
          <t>1555</t>
        </is>
      </c>
      <c r="B29" s="237" t="inlineStr">
        <is>
          <t>Accum Amort - Leasehold Impr</t>
        </is>
      </c>
      <c r="C29" s="239" t="n"/>
      <c r="D29" s="238" t="n"/>
    </row>
    <row r="30" ht="15" customHeight="1" s="104">
      <c r="A30" s="236" t="inlineStr">
        <is>
          <t>1600</t>
        </is>
      </c>
      <c r="B30" s="237" t="inlineStr">
        <is>
          <t>Goodwill (Acquired)</t>
        </is>
      </c>
      <c r="C30" s="238" t="n"/>
      <c r="D30" s="239" t="n"/>
    </row>
    <row r="31" ht="15" customHeight="1" s="104">
      <c r="A31" s="236" t="inlineStr">
        <is>
          <t>1610</t>
        </is>
      </c>
      <c r="B31" s="237" t="inlineStr">
        <is>
          <t>Accum Amort - Goodwill</t>
        </is>
      </c>
      <c r="C31" s="239" t="n"/>
      <c r="D31" s="238" t="n"/>
    </row>
    <row r="32" ht="15" customHeight="1" s="104">
      <c r="A32" s="236" t="inlineStr">
        <is>
          <t>1620</t>
        </is>
      </c>
      <c r="B32" s="237" t="inlineStr">
        <is>
          <t>Patents</t>
        </is>
      </c>
      <c r="C32" s="238" t="n"/>
      <c r="D32" s="239" t="n"/>
    </row>
    <row r="33" ht="15" customHeight="1" s="104">
      <c r="A33" s="236" t="inlineStr">
        <is>
          <t>1625</t>
        </is>
      </c>
      <c r="B33" s="237" t="inlineStr">
        <is>
          <t>Accum Amort - Patents</t>
        </is>
      </c>
      <c r="C33" s="239" t="n"/>
      <c r="D33" s="238" t="n"/>
    </row>
    <row r="34" ht="15" customHeight="1" s="104">
      <c r="A34" s="236" t="inlineStr">
        <is>
          <t>1700</t>
        </is>
      </c>
      <c r="B34" s="237" t="inlineStr">
        <is>
          <t>Security Deposits</t>
        </is>
      </c>
      <c r="C34" s="238" t="n"/>
      <c r="D34" s="239" t="n"/>
    </row>
    <row r="35" ht="15" customHeight="1" s="104">
      <c r="A35" s="236" t="inlineStr">
        <is>
          <t>1800</t>
        </is>
      </c>
      <c r="B35" s="237" t="inlineStr">
        <is>
          <t>Investment in Sub-Partnership (K-1 received)</t>
        </is>
      </c>
      <c r="C35" s="238" t="n"/>
      <c r="D35" s="239" t="n"/>
    </row>
    <row r="36" ht="21.75" customHeight="1" s="104">
      <c r="A36" s="234" t="inlineStr">
        <is>
          <t>LIABILITIES</t>
        </is>
      </c>
      <c r="B36" s="235" t="n"/>
      <c r="C36" s="235" t="n"/>
      <c r="D36" s="235" t="n"/>
    </row>
    <row r="37" ht="15" customHeight="1" s="104">
      <c r="A37" s="236" t="inlineStr">
        <is>
          <t>2000</t>
        </is>
      </c>
      <c r="B37" s="237" t="inlineStr">
        <is>
          <t>Accounts Payable</t>
        </is>
      </c>
      <c r="C37" s="239" t="n"/>
      <c r="D37" s="238" t="n"/>
    </row>
    <row r="38" ht="15" customHeight="1" s="104">
      <c r="A38" s="236" t="inlineStr">
        <is>
          <t>2050</t>
        </is>
      </c>
      <c r="B38" s="237" t="inlineStr">
        <is>
          <t>Accrued Expenses</t>
        </is>
      </c>
      <c r="C38" s="239" t="n"/>
      <c r="D38" s="238" t="n"/>
    </row>
    <row r="39" ht="15" customHeight="1" s="104">
      <c r="A39" s="236" t="inlineStr">
        <is>
          <t>2060</t>
        </is>
      </c>
      <c r="B39" s="237" t="inlineStr">
        <is>
          <t>Accrued Payroll &amp; Payroll Taxes</t>
        </is>
      </c>
      <c r="C39" s="239" t="n"/>
      <c r="D39" s="238" t="n"/>
    </row>
    <row r="40" ht="15" customHeight="1" s="104">
      <c r="A40" s="236" t="inlineStr">
        <is>
          <t>2070</t>
        </is>
      </c>
      <c r="B40" s="237" t="inlineStr">
        <is>
          <t>Accrued Bonuses - Related Party (&gt;2.5 mo unpaid)</t>
        </is>
      </c>
      <c r="C40" s="239" t="n"/>
      <c r="D40" s="238" t="n"/>
    </row>
    <row r="41" ht="15" customHeight="1" s="104">
      <c r="A41" s="236" t="inlineStr">
        <is>
          <t>2080</t>
        </is>
      </c>
      <c r="B41" s="237" t="inlineStr">
        <is>
          <t>Sales Tax Payable</t>
        </is>
      </c>
      <c r="C41" s="239" t="n"/>
      <c r="D41" s="238" t="n"/>
    </row>
    <row r="42" ht="15" customHeight="1" s="104">
      <c r="A42" s="236" t="inlineStr">
        <is>
          <t>2100</t>
        </is>
      </c>
      <c r="B42" s="237" t="inlineStr">
        <is>
          <t>Unearned Revenue / Deferred Revenue</t>
        </is>
      </c>
      <c r="C42" s="239" t="n"/>
      <c r="D42" s="238" t="n"/>
    </row>
    <row r="43" ht="15" customHeight="1" s="104">
      <c r="A43" s="236" t="inlineStr">
        <is>
          <t>2200</t>
        </is>
      </c>
      <c r="B43" s="237" t="inlineStr">
        <is>
          <t>Line of Credit</t>
        </is>
      </c>
      <c r="C43" s="239" t="n"/>
      <c r="D43" s="238" t="n"/>
    </row>
    <row r="44" ht="15" customHeight="1" s="104">
      <c r="A44" s="236" t="inlineStr">
        <is>
          <t>2300</t>
        </is>
      </c>
      <c r="B44" s="237" t="inlineStr">
        <is>
          <t>Note Payable - Bank (Current Portion)</t>
        </is>
      </c>
      <c r="C44" s="239" t="n"/>
      <c r="D44" s="238" t="n"/>
    </row>
    <row r="45" ht="15" customHeight="1" s="104">
      <c r="A45" s="236" t="inlineStr">
        <is>
          <t>2400</t>
        </is>
      </c>
      <c r="B45" s="237" t="inlineStr">
        <is>
          <t>Mortgage Payable - Building</t>
        </is>
      </c>
      <c r="C45" s="239" t="n"/>
      <c r="D45" s="238" t="n"/>
    </row>
    <row r="46" ht="15" customHeight="1" s="104">
      <c r="A46" s="236" t="inlineStr">
        <is>
          <t>2410</t>
        </is>
      </c>
      <c r="B46" s="237" t="inlineStr">
        <is>
          <t>Mortgage Payable - Nonrecourse portion</t>
        </is>
      </c>
      <c r="C46" s="239" t="n"/>
      <c r="D46" s="238" t="n"/>
    </row>
    <row r="47" ht="15" customHeight="1" s="104">
      <c r="A47" s="236" t="inlineStr">
        <is>
          <t>2500</t>
        </is>
      </c>
      <c r="B47" s="237" t="inlineStr">
        <is>
          <t>Loans from Partners</t>
        </is>
      </c>
      <c r="C47" s="239" t="n"/>
      <c r="D47" s="238" t="n"/>
    </row>
    <row r="48" ht="15" customHeight="1" s="104">
      <c r="A48" s="236" t="inlineStr">
        <is>
          <t>2600</t>
        </is>
      </c>
      <c r="B48" s="237" t="inlineStr">
        <is>
          <t>Other Long-term Liabilities</t>
        </is>
      </c>
      <c r="C48" s="239" t="n"/>
      <c r="D48" s="238" t="n"/>
    </row>
    <row r="49" ht="21.75" customHeight="1" s="104">
      <c r="A49" s="234" t="inlineStr">
        <is>
          <t>PARTNERS' EQUITY</t>
        </is>
      </c>
      <c r="B49" s="235" t="n"/>
      <c r="C49" s="235" t="n"/>
      <c r="D49" s="235" t="n"/>
    </row>
    <row r="50" ht="15" customHeight="1" s="104">
      <c r="A50" s="236" t="inlineStr">
        <is>
          <t>3000</t>
        </is>
      </c>
      <c r="B50" s="240" t="inlineStr">
        <is>
          <t>Partner A - Capital Account (Beg Bal - MUST = PY Ending)</t>
        </is>
      </c>
      <c r="C50" s="239" t="n"/>
      <c r="D50" s="238" t="n"/>
    </row>
    <row r="51" ht="15" customHeight="1" s="104">
      <c r="A51" s="236" t="inlineStr">
        <is>
          <t>3010</t>
        </is>
      </c>
      <c r="B51" s="240" t="inlineStr">
        <is>
          <t>Partner B - Capital Account (Beg Bal - MUST = PY Ending)</t>
        </is>
      </c>
      <c r="C51" s="239" t="n"/>
      <c r="D51" s="238" t="n"/>
    </row>
    <row r="52" ht="15" customHeight="1" s="104">
      <c r="A52" s="236" t="inlineStr">
        <is>
          <t>3100</t>
        </is>
      </c>
      <c r="B52" s="237" t="inlineStr">
        <is>
          <t>Partner A - Draws/Distributions</t>
        </is>
      </c>
      <c r="C52" s="238" t="n"/>
      <c r="D52" s="239" t="n"/>
    </row>
    <row r="53" ht="15" customHeight="1" s="104">
      <c r="A53" s="236" t="inlineStr">
        <is>
          <t>3110</t>
        </is>
      </c>
      <c r="B53" s="237" t="inlineStr">
        <is>
          <t>Partner B - Draws/Distributions</t>
        </is>
      </c>
      <c r="C53" s="238" t="n"/>
      <c r="D53" s="239" t="n"/>
    </row>
    <row r="54" ht="15" customHeight="1" s="104">
      <c r="A54" s="236" t="inlineStr">
        <is>
          <t>3200</t>
        </is>
      </c>
      <c r="B54" s="237" t="inlineStr">
        <is>
          <t>Partner A - Contributions</t>
        </is>
      </c>
      <c r="C54" s="239" t="n"/>
      <c r="D54" s="238" t="n"/>
    </row>
    <row r="55" ht="15" customHeight="1" s="104">
      <c r="A55" s="236" t="inlineStr">
        <is>
          <t>3210</t>
        </is>
      </c>
      <c r="B55" s="237" t="inlineStr">
        <is>
          <t>Partner B - Contributions</t>
        </is>
      </c>
      <c r="C55" s="239" t="n"/>
      <c r="D55" s="238" t="n"/>
    </row>
    <row r="56" ht="21.75" customHeight="1" s="104">
      <c r="A56" s="234" t="inlineStr">
        <is>
          <t>REVENUE</t>
        </is>
      </c>
      <c r="B56" s="235" t="n"/>
      <c r="C56" s="235" t="n"/>
      <c r="D56" s="235" t="n"/>
    </row>
    <row r="57" ht="15" customHeight="1" s="104">
      <c r="A57" s="236" t="inlineStr">
        <is>
          <t>4000</t>
        </is>
      </c>
      <c r="B57" s="237" t="inlineStr">
        <is>
          <t>Gross Sales / Revenue</t>
        </is>
      </c>
      <c r="C57" s="239" t="n"/>
      <c r="D57" s="238" t="n"/>
    </row>
    <row r="58" ht="15" customHeight="1" s="104">
      <c r="A58" s="236" t="inlineStr">
        <is>
          <t>4010</t>
        </is>
      </c>
      <c r="B58" s="237" t="inlineStr">
        <is>
          <t>Sales Returns &amp; Allowances</t>
        </is>
      </c>
      <c r="C58" s="238" t="n"/>
      <c r="D58" s="239" t="n"/>
    </row>
    <row r="59" ht="15" customHeight="1" s="104">
      <c r="A59" s="236" t="inlineStr">
        <is>
          <t>4100</t>
        </is>
      </c>
      <c r="B59" s="237" t="inlineStr">
        <is>
          <t>Rental Income - Real Estate (Form 8825)</t>
        </is>
      </c>
      <c r="C59" s="239" t="n"/>
      <c r="D59" s="238" t="n"/>
    </row>
    <row r="60" ht="15" customHeight="1" s="104">
      <c r="A60" s="236" t="inlineStr">
        <is>
          <t>4110</t>
        </is>
      </c>
      <c r="B60" s="237" t="inlineStr">
        <is>
          <t>Rental Income - Equipment</t>
        </is>
      </c>
      <c r="C60" s="239" t="n"/>
      <c r="D60" s="238" t="n"/>
    </row>
    <row r="61" ht="15" customHeight="1" s="104">
      <c r="A61" s="236" t="inlineStr">
        <is>
          <t>4200</t>
        </is>
      </c>
      <c r="B61" s="237" t="inlineStr">
        <is>
          <t>Interest Income - Bank</t>
        </is>
      </c>
      <c r="C61" s="239" t="n"/>
      <c r="D61" s="238" t="n"/>
    </row>
    <row r="62" ht="15" customHeight="1" s="104">
      <c r="A62" s="236" t="inlineStr">
        <is>
          <t>4210</t>
        </is>
      </c>
      <c r="B62" s="237" t="inlineStr">
        <is>
          <t>Interest Income - Municipal Bonds (Tax-Exempt)</t>
        </is>
      </c>
      <c r="C62" s="239" t="n"/>
      <c r="D62" s="238" t="n"/>
    </row>
    <row r="63" ht="15" customHeight="1" s="104">
      <c r="A63" s="236" t="inlineStr">
        <is>
          <t>4220</t>
        </is>
      </c>
      <c r="B63" s="237" t="inlineStr">
        <is>
          <t>Interest Income - Corporate Bonds</t>
        </is>
      </c>
      <c r="C63" s="239" t="n"/>
      <c r="D63" s="238" t="n"/>
    </row>
    <row r="64" ht="15" customHeight="1" s="104">
      <c r="A64" s="236" t="inlineStr">
        <is>
          <t>4300</t>
        </is>
      </c>
      <c r="B64" s="237" t="inlineStr">
        <is>
          <t>Dividend Income - Ordinary</t>
        </is>
      </c>
      <c r="C64" s="239" t="n"/>
      <c r="D64" s="238" t="n"/>
    </row>
    <row r="65" ht="15" customHeight="1" s="104">
      <c r="A65" s="236" t="inlineStr">
        <is>
          <t>4310</t>
        </is>
      </c>
      <c r="B65" s="237" t="inlineStr">
        <is>
          <t>Dividend Income - Qualified</t>
        </is>
      </c>
      <c r="C65" s="239" t="n"/>
      <c r="D65" s="238" t="n"/>
    </row>
    <row r="66" ht="15" customHeight="1" s="104">
      <c r="A66" s="236" t="inlineStr">
        <is>
          <t>4400</t>
        </is>
      </c>
      <c r="B66" s="237" t="inlineStr">
        <is>
          <t>Royalty Income</t>
        </is>
      </c>
      <c r="C66" s="239" t="n"/>
      <c r="D66" s="238" t="n"/>
    </row>
    <row r="67" ht="15" customHeight="1" s="104">
      <c r="A67" s="236" t="inlineStr">
        <is>
          <t>4500</t>
        </is>
      </c>
      <c r="B67" s="237" t="inlineStr">
        <is>
          <t>Gain on Sale of Equipment (Sec 1231 - held &gt;1yr)</t>
        </is>
      </c>
      <c r="C67" s="239" t="n"/>
      <c r="D67" s="238" t="n"/>
    </row>
    <row r="68" ht="15" customHeight="1" s="104">
      <c r="A68" s="236" t="inlineStr">
        <is>
          <t>4510</t>
        </is>
      </c>
      <c r="B68" s="237" t="inlineStr">
        <is>
          <t>Gain on Sale of Stock - Short-term</t>
        </is>
      </c>
      <c r="C68" s="239" t="n"/>
      <c r="D68" s="238" t="n"/>
    </row>
    <row r="69" ht="15" customHeight="1" s="104">
      <c r="A69" s="236" t="inlineStr">
        <is>
          <t>4520</t>
        </is>
      </c>
      <c r="B69" s="237" t="inlineStr">
        <is>
          <t>Gain on Sale of Stock - Long-term</t>
        </is>
      </c>
      <c r="C69" s="239" t="n"/>
      <c r="D69" s="238" t="n"/>
    </row>
    <row r="70" ht="15" customHeight="1" s="104">
      <c r="A70" s="236" t="inlineStr">
        <is>
          <t>4530</t>
        </is>
      </c>
      <c r="B70" s="237" t="inlineStr">
        <is>
          <t>Gain on Sale of Collectibles (Art)</t>
        </is>
      </c>
      <c r="C70" s="239" t="n"/>
      <c r="D70" s="238" t="n"/>
    </row>
    <row r="71" ht="15" customHeight="1" s="104">
      <c r="A71" s="236" t="inlineStr">
        <is>
          <t>4600</t>
        </is>
      </c>
      <c r="B71" s="237" t="inlineStr">
        <is>
          <t>Income from Sub-Partnership (K-1 ordinary)</t>
        </is>
      </c>
      <c r="C71" s="239" t="n"/>
      <c r="D71" s="238" t="n"/>
    </row>
    <row r="72" ht="15" customHeight="1" s="104">
      <c r="A72" s="236" t="inlineStr">
        <is>
          <t>4610</t>
        </is>
      </c>
      <c r="B72" s="237" t="inlineStr">
        <is>
          <t>Income from Sub-Partnership (K-1 separately stated - LTCG)</t>
        </is>
      </c>
      <c r="C72" s="239" t="n"/>
      <c r="D72" s="238" t="n"/>
    </row>
    <row r="73" ht="15" customHeight="1" s="104">
      <c r="A73" s="236" t="inlineStr">
        <is>
          <t>4700</t>
        </is>
      </c>
      <c r="B73" s="237" t="inlineStr">
        <is>
          <t>Cancellation of Debt Income</t>
        </is>
      </c>
      <c r="C73" s="239" t="n"/>
      <c r="D73" s="238" t="n"/>
    </row>
    <row r="74" ht="15" customHeight="1" s="104">
      <c r="A74" s="236" t="inlineStr">
        <is>
          <t>4800</t>
        </is>
      </c>
      <c r="B74" s="237" t="inlineStr">
        <is>
          <t>Other Miscellaneous Income</t>
        </is>
      </c>
      <c r="C74" s="239" t="n"/>
      <c r="D74" s="238" t="n"/>
    </row>
    <row r="75" ht="21.75" customHeight="1" s="104">
      <c r="A75" s="234" t="inlineStr">
        <is>
          <t>COST OF GOODS SOLD</t>
        </is>
      </c>
      <c r="B75" s="235" t="n"/>
      <c r="C75" s="235" t="n"/>
      <c r="D75" s="235" t="n"/>
    </row>
    <row r="76" ht="15" customHeight="1" s="104">
      <c r="A76" s="236" t="inlineStr">
        <is>
          <t>5000</t>
        </is>
      </c>
      <c r="B76" s="240" t="inlineStr">
        <is>
          <t>Beginning Inventory (MUST = PY Ending Inventory)</t>
        </is>
      </c>
      <c r="C76" s="238" t="n"/>
      <c r="D76" s="239" t="n"/>
    </row>
    <row r="77" ht="15" customHeight="1" s="104">
      <c r="A77" s="236" t="inlineStr">
        <is>
          <t>5010</t>
        </is>
      </c>
      <c r="B77" s="237" t="inlineStr">
        <is>
          <t>Purchases</t>
        </is>
      </c>
      <c r="C77" s="238" t="n"/>
      <c r="D77" s="239" t="n"/>
    </row>
    <row r="78" ht="15" customHeight="1" s="104">
      <c r="A78" s="236" t="inlineStr">
        <is>
          <t>5020</t>
        </is>
      </c>
      <c r="B78" s="237" t="inlineStr">
        <is>
          <t>Direct Labor</t>
        </is>
      </c>
      <c r="C78" s="238" t="n"/>
      <c r="D78" s="239" t="n"/>
    </row>
    <row r="79" ht="15" customHeight="1" s="104">
      <c r="A79" s="236" t="inlineStr">
        <is>
          <t>5030</t>
        </is>
      </c>
      <c r="B79" s="237" t="inlineStr">
        <is>
          <t>Freight-In</t>
        </is>
      </c>
      <c r="C79" s="238" t="n"/>
      <c r="D79" s="239" t="n"/>
    </row>
    <row r="80" ht="15" customHeight="1" s="104">
      <c r="A80" s="236" t="inlineStr">
        <is>
          <t>5040</t>
        </is>
      </c>
      <c r="B80" s="237" t="inlineStr">
        <is>
          <t>Depreciation in COGS (manufacturing equip)</t>
        </is>
      </c>
      <c r="C80" s="238" t="n"/>
      <c r="D80" s="239" t="n"/>
    </row>
    <row r="81" ht="15" customHeight="1" s="104">
      <c r="A81" s="236" t="inlineStr">
        <is>
          <t>5050</t>
        </is>
      </c>
      <c r="B81" s="237" t="inlineStr">
        <is>
          <t>Other Manufacturing Overhead</t>
        </is>
      </c>
      <c r="C81" s="238" t="n"/>
      <c r="D81" s="239" t="n"/>
    </row>
    <row r="82" ht="15" customHeight="1" s="104">
      <c r="A82" s="236" t="inlineStr">
        <is>
          <t>5090</t>
        </is>
      </c>
      <c r="B82" s="237" t="inlineStr">
        <is>
          <t>Less: Ending Inventory</t>
        </is>
      </c>
      <c r="C82" s="239" t="n"/>
      <c r="D82" s="238" t="n"/>
    </row>
    <row r="83" ht="21.75" customHeight="1" s="104">
      <c r="A83" s="234" t="inlineStr">
        <is>
          <t>OPERATING EXPENSES</t>
        </is>
      </c>
      <c r="B83" s="235" t="n"/>
      <c r="C83" s="235" t="n"/>
      <c r="D83" s="235" t="n"/>
    </row>
    <row r="84" ht="15" customHeight="1" s="104">
      <c r="A84" s="236" t="inlineStr">
        <is>
          <t>6000</t>
        </is>
      </c>
      <c r="B84" s="237" t="inlineStr">
        <is>
          <t>Salaries &amp; Wages (W-2 employees)</t>
        </is>
      </c>
      <c r="C84" s="238" t="n"/>
      <c r="D84" s="239" t="n"/>
    </row>
    <row r="85" ht="15" customHeight="1" s="104">
      <c r="A85" s="236" t="inlineStr">
        <is>
          <t>6010</t>
        </is>
      </c>
      <c r="B85" s="237" t="inlineStr">
        <is>
          <t>Guaranteed Payments - Partner A (services)</t>
        </is>
      </c>
      <c r="C85" s="238" t="n"/>
      <c r="D85" s="239" t="n"/>
    </row>
    <row r="86" ht="15" customHeight="1" s="104">
      <c r="A86" s="236" t="inlineStr">
        <is>
          <t>6015</t>
        </is>
      </c>
      <c r="B86" s="237" t="inlineStr">
        <is>
          <t>Guaranteed Payments - Partner B (services)</t>
        </is>
      </c>
      <c r="C86" s="238" t="n"/>
      <c r="D86" s="239" t="n"/>
    </row>
    <row r="87" ht="15" customHeight="1" s="104">
      <c r="A87" s="236" t="inlineStr">
        <is>
          <t>6020</t>
        </is>
      </c>
      <c r="B87" s="237" t="inlineStr">
        <is>
          <t>Guaranteed Payments - Use of Capital</t>
        </is>
      </c>
      <c r="C87" s="238" t="n"/>
      <c r="D87" s="239" t="n"/>
    </row>
    <row r="88" ht="15" customHeight="1" s="104">
      <c r="A88" s="236" t="inlineStr">
        <is>
          <t>6050</t>
        </is>
      </c>
      <c r="B88" s="237" t="inlineStr">
        <is>
          <t>Payroll Taxes (employer portion)</t>
        </is>
      </c>
      <c r="C88" s="238" t="n"/>
      <c r="D88" s="239" t="n"/>
    </row>
    <row r="89" ht="15" customHeight="1" s="104">
      <c r="A89" s="236" t="inlineStr">
        <is>
          <t>6060</t>
        </is>
      </c>
      <c r="B89" s="237" t="inlineStr">
        <is>
          <t>Employee Health Insurance</t>
        </is>
      </c>
      <c r="C89" s="238" t="n"/>
      <c r="D89" s="239" t="n"/>
    </row>
    <row r="90" ht="15" customHeight="1" s="104">
      <c r="A90" s="236" t="inlineStr">
        <is>
          <t>6065</t>
        </is>
      </c>
      <c r="B90" s="237" t="inlineStr">
        <is>
          <t>Partner Health Insurance (Partner A)</t>
        </is>
      </c>
      <c r="C90" s="238" t="n"/>
      <c r="D90" s="239" t="n"/>
    </row>
    <row r="91" ht="15" customHeight="1" s="104">
      <c r="A91" s="236" t="inlineStr">
        <is>
          <t>6066</t>
        </is>
      </c>
      <c r="B91" s="237" t="inlineStr">
        <is>
          <t>Partner Health Insurance (Partner B)</t>
        </is>
      </c>
      <c r="C91" s="238" t="n"/>
      <c r="D91" s="239" t="n"/>
    </row>
    <row r="92" ht="15" customHeight="1" s="104">
      <c r="A92" s="236" t="inlineStr">
        <is>
          <t>6070</t>
        </is>
      </c>
      <c r="B92" s="237" t="inlineStr">
        <is>
          <t>401(k) Employer Match</t>
        </is>
      </c>
      <c r="C92" s="238" t="n"/>
      <c r="D92" s="239" t="n"/>
    </row>
    <row r="93" ht="15" customHeight="1" s="104">
      <c r="A93" s="236" t="inlineStr">
        <is>
          <t>6080</t>
        </is>
      </c>
      <c r="B93" s="237" t="inlineStr">
        <is>
          <t>Workers Compensation Insurance</t>
        </is>
      </c>
      <c r="C93" s="238" t="n"/>
      <c r="D93" s="239" t="n"/>
    </row>
    <row r="94" ht="15" customHeight="1" s="104">
      <c r="A94" s="236" t="inlineStr">
        <is>
          <t>6100</t>
        </is>
      </c>
      <c r="B94" s="237" t="inlineStr">
        <is>
          <t>Rent - Office Space</t>
        </is>
      </c>
      <c r="C94" s="238" t="n"/>
      <c r="D94" s="239" t="n"/>
    </row>
    <row r="95" ht="15" customHeight="1" s="104">
      <c r="A95" s="236" t="inlineStr">
        <is>
          <t>6110</t>
        </is>
      </c>
      <c r="B95" s="237" t="inlineStr">
        <is>
          <t>Rent - Equipment</t>
        </is>
      </c>
      <c r="C95" s="238" t="n"/>
      <c r="D95" s="239" t="n"/>
    </row>
    <row r="96" ht="15" customHeight="1" s="104">
      <c r="A96" s="236" t="inlineStr">
        <is>
          <t>6200</t>
        </is>
      </c>
      <c r="B96" s="237" t="inlineStr">
        <is>
          <t>Repairs &amp; Maintenance</t>
        </is>
      </c>
      <c r="C96" s="238" t="n"/>
      <c r="D96" s="239" t="n"/>
    </row>
    <row r="97" ht="15" customHeight="1" s="104">
      <c r="A97" s="236" t="inlineStr">
        <is>
          <t>6210</t>
        </is>
      </c>
      <c r="B97" s="237" t="inlineStr">
        <is>
          <t>Capital Improvement (Expensed on Books - should be capitalized)</t>
        </is>
      </c>
      <c r="C97" s="238" t="n"/>
      <c r="D97" s="239" t="n"/>
    </row>
    <row r="98" ht="15" customHeight="1" s="104">
      <c r="A98" s="236" t="inlineStr">
        <is>
          <t>6300</t>
        </is>
      </c>
      <c r="B98" s="237" t="inlineStr">
        <is>
          <t>Depreciation - Book</t>
        </is>
      </c>
      <c r="C98" s="238" t="n"/>
      <c r="D98" s="239" t="n"/>
    </row>
    <row r="99" ht="15" customHeight="1" s="104">
      <c r="A99" s="236" t="inlineStr">
        <is>
          <t>6310</t>
        </is>
      </c>
      <c r="B99" s="237" t="inlineStr">
        <is>
          <t>Amortization - Goodwill (Book - 10yr)</t>
        </is>
      </c>
      <c r="C99" s="238" t="n"/>
      <c r="D99" s="239" t="n"/>
    </row>
    <row r="100" ht="15" customHeight="1" s="104">
      <c r="A100" s="236" t="inlineStr">
        <is>
          <t>6320</t>
        </is>
      </c>
      <c r="B100" s="237" t="inlineStr">
        <is>
          <t>Amortization - Patents (Book - 10yr)</t>
        </is>
      </c>
      <c r="C100" s="238" t="n"/>
      <c r="D100" s="239" t="n"/>
    </row>
    <row r="101" ht="15" customHeight="1" s="104">
      <c r="A101" s="236" t="inlineStr">
        <is>
          <t>6400</t>
        </is>
      </c>
      <c r="B101" s="237" t="inlineStr">
        <is>
          <t>Utilities</t>
        </is>
      </c>
      <c r="C101" s="238" t="n"/>
      <c r="D101" s="239" t="n"/>
    </row>
    <row r="102" ht="15" customHeight="1" s="104">
      <c r="A102" s="236" t="inlineStr">
        <is>
          <t>6410</t>
        </is>
      </c>
      <c r="B102" s="237" t="inlineStr">
        <is>
          <t>Telephone &amp; Internet</t>
        </is>
      </c>
      <c r="C102" s="238" t="n"/>
      <c r="D102" s="239" t="n"/>
    </row>
    <row r="103" ht="15" customHeight="1" s="104">
      <c r="A103" s="236" t="inlineStr">
        <is>
          <t>6500</t>
        </is>
      </c>
      <c r="B103" s="237" t="inlineStr">
        <is>
          <t>Office Supplies</t>
        </is>
      </c>
      <c r="C103" s="238" t="n"/>
      <c r="D103" s="239" t="n"/>
    </row>
    <row r="104" ht="15" customHeight="1" s="104">
      <c r="A104" s="236" t="inlineStr">
        <is>
          <t>6510</t>
        </is>
      </c>
      <c r="B104" s="237" t="inlineStr">
        <is>
          <t>Postage &amp; Shipping</t>
        </is>
      </c>
      <c r="C104" s="238" t="n"/>
      <c r="D104" s="239" t="n"/>
    </row>
    <row r="105" ht="15" customHeight="1" s="104">
      <c r="A105" s="236" t="inlineStr">
        <is>
          <t>6600</t>
        </is>
      </c>
      <c r="B105" s="237" t="inlineStr">
        <is>
          <t>Business Insurance (GL, E&amp;O)</t>
        </is>
      </c>
      <c r="C105" s="238" t="n"/>
      <c r="D105" s="239" t="n"/>
    </row>
    <row r="106" ht="15" customHeight="1" s="104">
      <c r="A106" s="236" t="inlineStr">
        <is>
          <t>6700</t>
        </is>
      </c>
      <c r="B106" s="237" t="inlineStr">
        <is>
          <t>Professional Fees - Accounting</t>
        </is>
      </c>
      <c r="C106" s="238" t="n"/>
      <c r="D106" s="239" t="n"/>
    </row>
    <row r="107" ht="15" customHeight="1" s="104">
      <c r="A107" s="236" t="inlineStr">
        <is>
          <t>6710</t>
        </is>
      </c>
      <c r="B107" s="237" t="inlineStr">
        <is>
          <t>Professional Fees - Legal</t>
        </is>
      </c>
      <c r="C107" s="238" t="n"/>
      <c r="D107" s="239" t="n"/>
    </row>
    <row r="108" ht="15" customHeight="1" s="104">
      <c r="A108" s="236" t="inlineStr">
        <is>
          <t>6720</t>
        </is>
      </c>
      <c r="B108" s="237" t="inlineStr">
        <is>
          <t>Professional Fees - Consulting</t>
        </is>
      </c>
      <c r="C108" s="238" t="n"/>
      <c r="D108" s="239" t="n"/>
    </row>
    <row r="109" ht="15" customHeight="1" s="104">
      <c r="A109" s="236" t="inlineStr">
        <is>
          <t>6800</t>
        </is>
      </c>
      <c r="B109" s="237" t="inlineStr">
        <is>
          <t>Advertising &amp; Marketing</t>
        </is>
      </c>
      <c r="C109" s="238" t="n"/>
      <c r="D109" s="239" t="n"/>
    </row>
    <row r="110" ht="15" customHeight="1" s="104">
      <c r="A110" s="236" t="inlineStr">
        <is>
          <t>6900</t>
        </is>
      </c>
      <c r="B110" s="237" t="inlineStr">
        <is>
          <t>Travel Expense</t>
        </is>
      </c>
      <c r="C110" s="238" t="n"/>
      <c r="D110" s="239" t="n"/>
    </row>
    <row r="111" ht="15" customHeight="1" s="104">
      <c r="A111" s="236" t="inlineStr">
        <is>
          <t>6910</t>
        </is>
      </c>
      <c r="B111" s="237" t="inlineStr">
        <is>
          <t>Business Meals (100% on books)</t>
        </is>
      </c>
      <c r="C111" s="238" t="n"/>
      <c r="D111" s="239" t="n"/>
    </row>
    <row r="112" ht="15" customHeight="1" s="104">
      <c r="A112" s="236" t="inlineStr">
        <is>
          <t>6920</t>
        </is>
      </c>
      <c r="B112" s="237" t="inlineStr">
        <is>
          <t>Entertainment</t>
        </is>
      </c>
      <c r="C112" s="238" t="n"/>
      <c r="D112" s="239" t="n"/>
    </row>
    <row r="113" ht="15" customHeight="1" s="104">
      <c r="A113" s="236" t="inlineStr">
        <is>
          <t>6930</t>
        </is>
      </c>
      <c r="B113" s="237" t="inlineStr">
        <is>
          <t>Club Dues (Country Club)</t>
        </is>
      </c>
      <c r="C113" s="238" t="n"/>
      <c r="D113" s="239" t="n"/>
    </row>
    <row r="114" ht="15" customHeight="1" s="104">
      <c r="A114" s="236" t="inlineStr">
        <is>
          <t>7000</t>
        </is>
      </c>
      <c r="B114" s="237" t="inlineStr">
        <is>
          <t>Auto Expense (non-depreciation)</t>
        </is>
      </c>
      <c r="C114" s="238" t="n"/>
      <c r="D114" s="239" t="n"/>
    </row>
    <row r="115" ht="15" customHeight="1" s="104">
      <c r="A115" s="236" t="inlineStr">
        <is>
          <t>7100</t>
        </is>
      </c>
      <c r="B115" s="237" t="inlineStr">
        <is>
          <t>Charitable Contributions</t>
        </is>
      </c>
      <c r="C115" s="238" t="n"/>
      <c r="D115" s="239" t="n"/>
    </row>
    <row r="116" ht="15" customHeight="1" s="104">
      <c r="A116" s="236" t="inlineStr">
        <is>
          <t>7200</t>
        </is>
      </c>
      <c r="B116" s="237" t="inlineStr">
        <is>
          <t>Penalties &amp; Fines</t>
        </is>
      </c>
      <c r="C116" s="238" t="n"/>
      <c r="D116" s="239" t="n"/>
    </row>
    <row r="117" ht="15" customHeight="1" s="104">
      <c r="A117" s="236" t="inlineStr">
        <is>
          <t>7210</t>
        </is>
      </c>
      <c r="B117" s="237" t="inlineStr">
        <is>
          <t>Political Contributions</t>
        </is>
      </c>
      <c r="C117" s="238" t="n"/>
      <c r="D117" s="239" t="n"/>
    </row>
    <row r="118" ht="15" customHeight="1" s="104">
      <c r="A118" s="236" t="inlineStr">
        <is>
          <t>7300</t>
        </is>
      </c>
      <c r="B118" s="237" t="inlineStr">
        <is>
          <t>Interest Expense - Business Line of Credit</t>
        </is>
      </c>
      <c r="C118" s="238" t="n"/>
      <c r="D118" s="239" t="n"/>
    </row>
    <row r="119" ht="15" customHeight="1" s="104">
      <c r="A119" s="236" t="inlineStr">
        <is>
          <t>7310</t>
        </is>
      </c>
      <c r="B119" s="237" t="inlineStr">
        <is>
          <t>Interest Expense - Mortgage</t>
        </is>
      </c>
      <c r="C119" s="238" t="n"/>
      <c r="D119" s="239" t="n"/>
    </row>
    <row r="120" ht="15" customHeight="1" s="104">
      <c r="A120" s="236" t="inlineStr">
        <is>
          <t>7320</t>
        </is>
      </c>
      <c r="B120" s="237" t="inlineStr">
        <is>
          <t>Interest Expense - Investment Margin Account</t>
        </is>
      </c>
      <c r="C120" s="238" t="n"/>
      <c r="D120" s="239" t="n"/>
    </row>
    <row r="121" ht="15" customHeight="1" s="104">
      <c r="A121" s="236" t="inlineStr">
        <is>
          <t>7400</t>
        </is>
      </c>
      <c r="B121" s="237" t="inlineStr">
        <is>
          <t>Taxes - Property</t>
        </is>
      </c>
      <c r="C121" s="238" t="n"/>
      <c r="D121" s="239" t="n"/>
    </row>
    <row r="122" ht="15" customHeight="1" s="104">
      <c r="A122" s="236" t="inlineStr">
        <is>
          <t>7410</t>
        </is>
      </c>
      <c r="B122" s="237" t="inlineStr">
        <is>
          <t>Taxes - State Franchise/Income</t>
        </is>
      </c>
      <c r="C122" s="238" t="n"/>
      <c r="D122" s="239" t="n"/>
    </row>
    <row r="123" ht="15" customHeight="1" s="104">
      <c r="A123" s="236" t="inlineStr">
        <is>
          <t>7420</t>
        </is>
      </c>
      <c r="B123" s="237" t="inlineStr">
        <is>
          <t>Taxes - Business Licenses</t>
        </is>
      </c>
      <c r="C123" s="238" t="n"/>
      <c r="D123" s="239" t="n"/>
    </row>
    <row r="124" ht="15" customHeight="1" s="104">
      <c r="A124" s="236" t="inlineStr">
        <is>
          <t>7500</t>
        </is>
      </c>
      <c r="B124" s="237" t="inlineStr">
        <is>
          <t>Bad Debt Expense (Reserve Method on Books)</t>
        </is>
      </c>
      <c r="C124" s="238" t="n"/>
      <c r="D124" s="239" t="n"/>
    </row>
    <row r="125" ht="15" customHeight="1" s="104">
      <c r="A125" s="236" t="inlineStr">
        <is>
          <t>7600</t>
        </is>
      </c>
      <c r="B125" s="237" t="inlineStr">
        <is>
          <t>Warranty Reserve Expense</t>
        </is>
      </c>
      <c r="C125" s="238" t="n"/>
      <c r="D125" s="239" t="n"/>
    </row>
    <row r="126" ht="15" customHeight="1" s="104">
      <c r="A126" s="236" t="inlineStr">
        <is>
          <t>7700</t>
        </is>
      </c>
      <c r="B126" s="237" t="inlineStr">
        <is>
          <t>Litigation Reserve Expense</t>
        </is>
      </c>
      <c r="C126" s="238" t="n"/>
      <c r="D126" s="239" t="n"/>
    </row>
    <row r="127" ht="15" customHeight="1" s="104">
      <c r="A127" s="236" t="inlineStr">
        <is>
          <t>7800</t>
        </is>
      </c>
      <c r="B127" s="237" t="inlineStr">
        <is>
          <t>Life Insurance Premiums (Key Person - Partnership Beneficiary)</t>
        </is>
      </c>
      <c r="C127" s="238" t="n"/>
      <c r="D127" s="239" t="n"/>
    </row>
    <row r="128" ht="15" customHeight="1" s="104">
      <c r="A128" s="236" t="inlineStr">
        <is>
          <t>7900</t>
        </is>
      </c>
      <c r="B128" s="237" t="inlineStr">
        <is>
          <t>Miscellaneous Expense</t>
        </is>
      </c>
      <c r="C128" s="238" t="n"/>
      <c r="D128" s="239" t="n"/>
    </row>
    <row r="129" ht="21.75" customHeight="1" s="104">
      <c r="A129" s="234" t="inlineStr">
        <is>
          <t>RENTAL PROPERTY EXPENSES (Form 8825)</t>
        </is>
      </c>
      <c r="B129" s="235" t="n"/>
      <c r="C129" s="235" t="n"/>
      <c r="D129" s="235" t="n"/>
    </row>
    <row r="130" ht="15" customHeight="1" s="104">
      <c r="A130" s="236" t="inlineStr">
        <is>
          <t>8000</t>
        </is>
      </c>
      <c r="B130" s="237" t="inlineStr">
        <is>
          <t>Rental Property - Depreciation (Book)</t>
        </is>
      </c>
      <c r="C130" s="238" t="n"/>
      <c r="D130" s="239" t="n"/>
    </row>
    <row r="131" ht="15" customHeight="1" s="104">
      <c r="A131" s="236" t="inlineStr">
        <is>
          <t>8010</t>
        </is>
      </c>
      <c r="B131" s="237" t="inlineStr">
        <is>
          <t>Rental Property - Insurance</t>
        </is>
      </c>
      <c r="C131" s="238" t="n"/>
      <c r="D131" s="239" t="n"/>
    </row>
    <row r="132" ht="15" customHeight="1" s="104">
      <c r="A132" s="236" t="inlineStr">
        <is>
          <t>8020</t>
        </is>
      </c>
      <c r="B132" s="237" t="inlineStr">
        <is>
          <t>Rental Property - Repairs &amp; Maintenance</t>
        </is>
      </c>
      <c r="C132" s="238" t="n"/>
      <c r="D132" s="239" t="n"/>
    </row>
    <row r="133" ht="15" customHeight="1" s="104">
      <c r="A133" s="236" t="inlineStr">
        <is>
          <t>8030</t>
        </is>
      </c>
      <c r="B133" s="237" t="inlineStr">
        <is>
          <t>Rental Property - Property Taxes</t>
        </is>
      </c>
      <c r="C133" s="238" t="n"/>
      <c r="D133" s="239" t="n"/>
    </row>
    <row r="134" ht="15" customHeight="1" s="104">
      <c r="A134" s="236" t="inlineStr">
        <is>
          <t>8040</t>
        </is>
      </c>
      <c r="B134" s="237" t="inlineStr">
        <is>
          <t>Rental Property - Mortgage Interest</t>
        </is>
      </c>
      <c r="C134" s="238" t="n"/>
      <c r="D134" s="239" t="n"/>
    </row>
    <row r="135" ht="15" customHeight="1" s="104">
      <c r="A135" s="236" t="inlineStr">
        <is>
          <t>8050</t>
        </is>
      </c>
      <c r="B135" s="237" t="inlineStr">
        <is>
          <t>Rental Property - Utilities</t>
        </is>
      </c>
      <c r="C135" s="238" t="n"/>
      <c r="D135" s="239" t="n"/>
    </row>
    <row r="136" ht="15" customHeight="1" s="104">
      <c r="A136" s="236" t="inlineStr">
        <is>
          <t>8060</t>
        </is>
      </c>
      <c r="B136" s="237" t="inlineStr">
        <is>
          <t>Rental Property - Management Fees</t>
        </is>
      </c>
      <c r="C136" s="238" t="n"/>
      <c r="D136" s="239" t="n"/>
    </row>
    <row r="137"/>
    <row r="138" ht="15" customHeight="1" s="104">
      <c r="A138" s="214" t="n"/>
      <c r="B138" s="241" t="inlineStr">
        <is>
          <t>TOTAL TRIAL BALANCE</t>
        </is>
      </c>
      <c r="C138" s="215">
        <f>SUM(C5:C136)</f>
        <v/>
      </c>
      <c r="D138" s="215">
        <f>SUM(D5:D136)</f>
        <v/>
      </c>
    </row>
    <row r="139" ht="15" customHeight="1" s="104">
      <c r="A139" s="216" t="n"/>
      <c r="B139" s="242" t="inlineStr">
        <is>
          <t>DIFFERENCE (should be zero)</t>
        </is>
      </c>
      <c r="C139" s="118">
        <f>C138-D138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Right"/>
      <selection pane="bottomLeft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103" min="1" max="1"/>
    <col width="10" customWidth="1" style="103" min="2" max="2"/>
    <col width="38" customWidth="1" style="103" min="3" max="3"/>
    <col width="14" customWidth="1" style="103" min="4" max="4"/>
    <col width="8" customWidth="1" style="103" min="5" max="5"/>
    <col width="14" customWidth="1" style="103" min="6" max="8"/>
    <col width="14" customWidth="1" style="104" min="7" max="7"/>
    <col width="14" customWidth="1" style="104" min="8" max="8"/>
    <col width="14" customWidth="1" style="103" min="9" max="9"/>
    <col width="14" customWidth="1" style="103" min="10" max="10"/>
  </cols>
  <sheetData>
    <row r="1" ht="17.25" customHeight="1" s="104">
      <c r="A1" s="231" t="inlineStr">
        <is>
          <t>[ENTITY NAME] - WORKING TRIAL BALANCE</t>
        </is>
      </c>
    </row>
    <row r="2" ht="15" customHeight="1" s="104">
      <c r="A2" s="232" t="inlineStr">
        <is>
          <t>EIN: [XX-XXXXXXX]  |  Tax Year Ended: [MM/DD/YYYY]  |  [Accrual/Cash] Basis  |  [#] Partners</t>
        </is>
      </c>
    </row>
    <row r="3" ht="15" customHeight="1" s="104">
      <c r="A3" s="120" t="inlineStr">
        <is>
          <t>LEGEND:</t>
        </is>
      </c>
      <c r="B3" s="121" t="inlineStr">
        <is>
          <t>Gold = Linked to Client Books</t>
        </is>
      </c>
      <c r="C3" s="122" t="inlineStr">
        <is>
          <t>Blue font = Manual input</t>
        </is>
      </c>
      <c r="D3" s="123" t="inlineStr">
        <is>
          <t>Green = Auto-balanced formula</t>
        </is>
      </c>
      <c r="F3" s="124" t="inlineStr">
        <is>
          <t>RED = MANUALLY ENTER FROM PY RETURN</t>
        </is>
      </c>
    </row>
    <row r="5" ht="31.5" customHeight="1" s="104">
      <c r="A5" s="233" t="inlineStr">
        <is>
          <t>#</t>
        </is>
      </c>
      <c r="B5" s="233" t="inlineStr">
        <is>
          <t>1065 Line</t>
        </is>
      </c>
      <c r="C5" s="233" t="inlineStr">
        <is>
          <t>Description</t>
        </is>
      </c>
      <c r="D5" s="233" t="inlineStr">
        <is>
          <t>Book Amount</t>
        </is>
      </c>
      <c r="E5" s="233" t="inlineStr">
        <is>
          <t>Adj#</t>
        </is>
      </c>
      <c r="F5" s="233" t="inlineStr">
        <is>
          <t>Adj (+)</t>
        </is>
      </c>
      <c r="G5" s="233" t="inlineStr">
        <is>
          <t>Adj (-)</t>
        </is>
      </c>
      <c r="H5" s="233" t="inlineStr">
        <is>
          <t>Tax Amount</t>
        </is>
      </c>
      <c r="I5" s="233" t="inlineStr">
        <is>
          <t>M-1 / K Category</t>
        </is>
      </c>
      <c r="J5" s="233" t="inlineStr">
        <is>
          <t>Adjustment Memo / Notes</t>
        </is>
      </c>
    </row>
    <row r="6" ht="21.75" customHeight="1" s="104">
      <c r="A6" s="243" t="inlineStr">
        <is>
          <t>BALANCE SHEET — ASSETS</t>
        </is>
      </c>
      <c r="B6" s="235" t="n"/>
      <c r="C6" s="235" t="n"/>
      <c r="D6" s="244" t="n"/>
      <c r="E6" s="244" t="n"/>
      <c r="F6" s="244" t="n"/>
      <c r="G6" s="244" t="n"/>
      <c r="H6" s="244" t="n"/>
      <c r="I6" s="244" t="n"/>
      <c r="J6" s="244" t="n"/>
    </row>
    <row r="7" ht="45" customHeight="1" s="104">
      <c r="A7" s="109" t="n">
        <v>1</v>
      </c>
      <c r="B7" s="110" t="inlineStr">
        <is>
          <t>L Lines 1-2</t>
        </is>
      </c>
      <c r="C7" s="110" t="inlineStr">
        <is>
          <t>Cash + Accounts Receivable (net of allowance)</t>
        </is>
      </c>
      <c r="D7" s="245">
        <f>'Client Books'!C6+'Client Books'!C7+'Client Books'!C8+'Client Books'!C9-'Client Books'!D10+'Client Books'!C11</f>
        <v/>
      </c>
      <c r="E7" s="246" t="inlineStr">
        <is>
          <t>AJE-11</t>
        </is>
      </c>
      <c r="F7" s="247" t="n"/>
      <c r="G7" s="247" t="n">
        <v>0</v>
      </c>
      <c r="H7" s="248">
        <f>D7+IF(F7,F7,0)-IF(G7,G7,0)</f>
        <v/>
      </c>
      <c r="I7" s="249" t="n"/>
      <c r="J7" s="250" t="inlineStr">
        <is>
          <t>[Enter adjustment notes here]</t>
        </is>
      </c>
    </row>
    <row r="8" ht="45" customHeight="1" s="104">
      <c r="A8" s="109" t="n">
        <v>2</v>
      </c>
      <c r="B8" s="110" t="inlineStr">
        <is>
          <t>L Lines 3-5</t>
        </is>
      </c>
      <c r="C8" s="110" t="inlineStr">
        <is>
          <t>Inventory + Prepaid + Other Current Assets</t>
        </is>
      </c>
      <c r="D8" s="245">
        <f>'Client Books'!C12+'Client Books'!C13+'Client Books'!C14+'Client Books'!C15+'Client Books'!C16+'Client Books'!C17</f>
        <v/>
      </c>
      <c r="E8" s="246" t="inlineStr">
        <is>
          <t>AJE-06</t>
        </is>
      </c>
      <c r="F8" s="247" t="n"/>
      <c r="G8" s="247" t="n">
        <v>0</v>
      </c>
      <c r="H8" s="248">
        <f>D8+IF(F8,F8,0)-IF(G8,G8,0)</f>
        <v/>
      </c>
      <c r="I8" s="249" t="n"/>
      <c r="J8" s="250" t="inlineStr">
        <is>
          <t>[Enter adjustment notes here]</t>
        </is>
      </c>
    </row>
    <row r="9" ht="19.5" customHeight="1" s="104">
      <c r="A9" s="109" t="n">
        <v>3</v>
      </c>
      <c r="B9" s="110" t="inlineStr">
        <is>
          <t>L Lines 6-8</t>
        </is>
      </c>
      <c r="C9" s="110" t="inlineStr">
        <is>
          <t>Loans to Partners + Investment in Sub-Partnership</t>
        </is>
      </c>
      <c r="D9" s="245">
        <f>'Client Books'!C18+'Client Books'!C35</f>
        <v/>
      </c>
      <c r="E9" s="251" t="n"/>
      <c r="F9" s="247" t="n">
        <v>0</v>
      </c>
      <c r="G9" s="247" t="n">
        <v>0</v>
      </c>
      <c r="H9" s="248">
        <f>D9+IF(F9,F9,0)-IF(G9,G9,0)</f>
        <v/>
      </c>
      <c r="I9" s="249" t="n"/>
      <c r="J9" s="250" t="inlineStr">
        <is>
          <t>[Enter adjustment notes here]</t>
        </is>
      </c>
    </row>
    <row r="10" ht="45" customHeight="1" s="104">
      <c r="A10" s="109" t="n">
        <v>4</v>
      </c>
      <c r="B10" s="110" t="inlineStr">
        <is>
          <t>L Lines 9-10</t>
        </is>
      </c>
      <c r="C10" s="110" t="inlineStr">
        <is>
          <t>Fixed Assets (net of accumulated depreciation)</t>
        </is>
      </c>
      <c r="D10" s="245">
        <f>'Client Books'!C19+'Client Books'!C20-'Client Books'!D21+'Client Books'!C22-'Client Books'!D23+'Client Books'!C24-'Client Books'!D25+'Client Books'!C26-'Client Books'!D27+'Client Books'!C28-'Client Books'!D29</f>
        <v/>
      </c>
      <c r="E10" s="246" t="inlineStr">
        <is>
          <t>AJE-01,02</t>
        </is>
      </c>
      <c r="F10" s="247" t="n"/>
      <c r="G10" s="247" t="n"/>
      <c r="H10" s="248">
        <f>D10+IF(F10,F10,0)-IF(G10,G10,0)</f>
        <v/>
      </c>
      <c r="I10" s="249" t="n"/>
      <c r="J10" s="250" t="inlineStr">
        <is>
          <t>[Enter adjustment notes here]</t>
        </is>
      </c>
    </row>
    <row r="11" ht="45" customHeight="1" s="104">
      <c r="A11" s="109" t="n">
        <v>5</v>
      </c>
      <c r="B11" s="110" t="inlineStr">
        <is>
          <t>L Lines 11-14</t>
        </is>
      </c>
      <c r="C11" s="110" t="inlineStr">
        <is>
          <t>Intangibles (net) + Other Assets</t>
        </is>
      </c>
      <c r="D11" s="245">
        <f>'Client Books'!C30-'Client Books'!D31+'Client Books'!C32-'Client Books'!D33+'Client Books'!C34</f>
        <v/>
      </c>
      <c r="E11" s="246" t="inlineStr">
        <is>
          <t>AJE-25</t>
        </is>
      </c>
      <c r="F11" s="247" t="n"/>
      <c r="G11" s="247" t="n">
        <v>0</v>
      </c>
      <c r="H11" s="248">
        <f>D11+IF(F11,F11,0)-IF(G11,G11,0)</f>
        <v/>
      </c>
      <c r="I11" s="249" t="n"/>
      <c r="J11" s="250" t="inlineStr">
        <is>
          <t>[Enter adjustment notes here]</t>
        </is>
      </c>
    </row>
    <row r="12" ht="19.5" customHeight="1" s="104">
      <c r="A12" s="252" t="n"/>
      <c r="B12" s="132" t="n"/>
      <c r="C12" s="133" t="inlineStr">
        <is>
          <t>TOTAL ASSETS</t>
        </is>
      </c>
      <c r="D12" s="253">
        <f>D7+D8+D9+D10+D11</f>
        <v/>
      </c>
      <c r="E12" s="253" t="n"/>
      <c r="F12" s="253" t="n"/>
      <c r="G12" s="253" t="n"/>
      <c r="H12" s="253">
        <f>H7+H8+H9+H10+H11</f>
        <v/>
      </c>
      <c r="I12" s="253" t="n"/>
      <c r="J12" s="253" t="n"/>
    </row>
    <row r="13">
      <c r="D13" s="251" t="n"/>
      <c r="E13" s="251" t="n"/>
      <c r="F13" s="251" t="n"/>
      <c r="G13" s="251" t="n"/>
      <c r="H13" s="251" t="n"/>
      <c r="I13" s="251" t="n"/>
      <c r="J13" s="251" t="n"/>
    </row>
    <row r="14" ht="21.75" customHeight="1" s="104">
      <c r="A14" s="243" t="inlineStr">
        <is>
          <t>BALANCE SHEET — LIABILITIES</t>
        </is>
      </c>
      <c r="B14" s="235" t="n"/>
      <c r="C14" s="235" t="n"/>
      <c r="D14" s="244" t="n"/>
      <c r="E14" s="244" t="n"/>
      <c r="F14" s="244" t="n"/>
      <c r="G14" s="244" t="n"/>
      <c r="H14" s="244" t="n"/>
      <c r="I14" s="244" t="n"/>
      <c r="J14" s="244" t="n"/>
    </row>
    <row r="15" ht="45" customHeight="1" s="104">
      <c r="A15" s="109" t="n">
        <v>6</v>
      </c>
      <c r="B15" s="110" t="inlineStr">
        <is>
          <t>L Lines 15-21</t>
        </is>
      </c>
      <c r="C15" s="110" t="inlineStr">
        <is>
          <t>Total Liabilities</t>
        </is>
      </c>
      <c r="D15" s="245">
        <f>'Client Books'!D37+'Client Books'!D38+'Client Books'!D39+'Client Books'!D40+'Client Books'!D41+'Client Books'!D42+'Client Books'!D43+'Client Books'!D44+'Client Books'!D45+'Client Books'!D46+'Client Books'!D47+'Client Books'!D48</f>
        <v/>
      </c>
      <c r="E15" s="251" t="n"/>
      <c r="F15" s="247" t="n">
        <v>0</v>
      </c>
      <c r="G15" s="247" t="n">
        <v>0</v>
      </c>
      <c r="H15" s="248">
        <f>D15+IF(F15,F15,0)-IF(G15,G15,0)</f>
        <v/>
      </c>
      <c r="I15" s="249" t="n"/>
      <c r="J15" s="250" t="inlineStr">
        <is>
          <t>[Enter adjustment notes here]</t>
        </is>
      </c>
    </row>
    <row r="16">
      <c r="D16" s="251" t="n"/>
      <c r="E16" s="251" t="n"/>
      <c r="F16" s="251" t="n"/>
      <c r="G16" s="251" t="n"/>
      <c r="H16" s="251" t="n"/>
      <c r="I16" s="251" t="n"/>
      <c r="J16" s="251" t="n"/>
    </row>
    <row r="17" ht="21.75" customHeight="1" s="104">
      <c r="A17" s="243" t="inlineStr">
        <is>
          <t>BALANCE SHEET — PARTNERS' EQUITY / CAPITAL</t>
        </is>
      </c>
      <c r="B17" s="235" t="n"/>
      <c r="C17" s="235" t="n"/>
      <c r="D17" s="244" t="n"/>
      <c r="E17" s="244" t="n"/>
      <c r="F17" s="244" t="n"/>
      <c r="G17" s="244" t="n"/>
      <c r="H17" s="244" t="n"/>
      <c r="I17" s="244" t="n"/>
      <c r="J17" s="244" t="n"/>
    </row>
    <row r="18" ht="45" customHeight="1" s="104">
      <c r="A18" s="113" t="n">
        <v>7</v>
      </c>
      <c r="B18" s="135" t="inlineStr">
        <is>
          <t>L/M-2 Line 1</t>
        </is>
      </c>
      <c r="C18" s="135" t="inlineStr">
        <is>
          <t>Beginning Capital (= PY Ending Capital)</t>
        </is>
      </c>
      <c r="D18" s="254">
        <f>'Client Books'!D50+'Client Books'!D51</f>
        <v/>
      </c>
      <c r="E18" s="251" t="n"/>
      <c r="F18" s="247" t="n">
        <v>0</v>
      </c>
      <c r="G18" s="247" t="n">
        <v>0</v>
      </c>
      <c r="H18" s="254">
        <f>D18+IF(F18,F18,0)-IF(G18,G18,0)</f>
        <v/>
      </c>
      <c r="I18" s="249" t="n"/>
      <c r="J18" s="255" t="inlineStr">
        <is>
          <t>[Enter adjustment notes here]</t>
        </is>
      </c>
    </row>
    <row r="19" ht="19.5" customHeight="1" s="104">
      <c r="A19" s="109" t="n">
        <v>8</v>
      </c>
      <c r="B19" s="110" t="inlineStr">
        <is>
          <t>L/M-2 Line 2</t>
        </is>
      </c>
      <c r="C19" s="110" t="inlineStr">
        <is>
          <t>Capital Contributed During Year</t>
        </is>
      </c>
      <c r="D19" s="245">
        <f>'Client Books'!D54+'Client Books'!D55</f>
        <v/>
      </c>
      <c r="E19" s="251" t="n"/>
      <c r="F19" s="247" t="n">
        <v>0</v>
      </c>
      <c r="G19" s="247" t="n">
        <v>0</v>
      </c>
      <c r="H19" s="248">
        <f>D19+IF(F19,F19,0)-IF(G19,G19,0)</f>
        <v/>
      </c>
      <c r="I19" s="249" t="n"/>
      <c r="J19" s="250" t="inlineStr">
        <is>
          <t>[Enter adjustment notes here]</t>
        </is>
      </c>
    </row>
    <row r="20" ht="19.5" customHeight="1" s="104">
      <c r="A20" s="109" t="n">
        <v>9</v>
      </c>
      <c r="B20" s="110" t="inlineStr">
        <is>
          <t>L/M-2</t>
        </is>
      </c>
      <c r="C20" s="110" t="inlineStr">
        <is>
          <t>Partner Draws / Distributions</t>
        </is>
      </c>
      <c r="D20" s="245">
        <f>'Client Books'!C52+'Client Books'!C53</f>
        <v/>
      </c>
      <c r="E20" s="251" t="n"/>
      <c r="F20" s="247" t="n">
        <v>0</v>
      </c>
      <c r="G20" s="247" t="n">
        <v>0</v>
      </c>
      <c r="H20" s="248">
        <f>D20+IF(F20,F20,0)-IF(G20,G20,0)</f>
        <v/>
      </c>
      <c r="I20" s="249" t="n"/>
      <c r="J20" s="250" t="inlineStr">
        <is>
          <t>[Enter adjustment notes here]</t>
        </is>
      </c>
    </row>
    <row r="21" ht="45" customHeight="1" s="104">
      <c r="A21" s="109" t="n">
        <v>10</v>
      </c>
      <c r="B21" s="110" t="inlineStr">
        <is>
          <t>L/M-2</t>
        </is>
      </c>
      <c r="C21" s="110" t="inlineStr">
        <is>
          <t>Current Year Net Income (Per Books)</t>
        </is>
      </c>
      <c r="D21" s="245">
        <f>D94</f>
        <v/>
      </c>
      <c r="E21" s="251" t="n"/>
      <c r="F21" s="247" t="n">
        <v>0</v>
      </c>
      <c r="G21" s="247" t="n">
        <v>0</v>
      </c>
      <c r="H21" s="248">
        <f>H94</f>
        <v/>
      </c>
      <c r="I21" s="249" t="n"/>
      <c r="J21" s="256" t="inlineStr">
        <is>
          <t>Auto-tied to M-1 Line 1 (book net income). This makes BS proof work.</t>
        </is>
      </c>
    </row>
    <row r="22" ht="19.5" customHeight="1" s="104">
      <c r="A22" s="131" t="n"/>
      <c r="B22" s="132" t="n"/>
      <c r="C22" s="133" t="inlineStr">
        <is>
          <t>ENDING CAPITAL (Beg + Contrib + NI - Draws)</t>
        </is>
      </c>
      <c r="D22" s="257">
        <f>D18+D19+D21-D20</f>
        <v/>
      </c>
      <c r="E22" s="251" t="n"/>
      <c r="F22" s="248" t="n"/>
      <c r="G22" s="248" t="n"/>
      <c r="H22" s="257">
        <f>H18+H19+H21-H20</f>
        <v/>
      </c>
      <c r="I22" s="249" t="n"/>
      <c r="J22" s="256" t="inlineStr">
        <is>
          <t>Book ending capital. Tax capital computed via M-2 below.</t>
        </is>
      </c>
    </row>
    <row r="23" ht="45" customHeight="1" s="104">
      <c r="A23" s="109" t="n"/>
      <c r="B23" s="110" t="inlineStr">
        <is>
          <t>CHECK</t>
        </is>
      </c>
      <c r="C23" s="110" t="inlineStr">
        <is>
          <t>Book BS Proof: Assets - Liabilities - Ending Capital (should be ZERO)</t>
        </is>
      </c>
      <c r="D23" s="258">
        <f>D12-D15-D22</f>
        <v/>
      </c>
      <c r="E23" s="251" t="n"/>
      <c r="F23" s="248" t="n"/>
      <c r="G23" s="248" t="n"/>
      <c r="H23" s="258">
        <f>H12-H15-H22</f>
        <v/>
      </c>
      <c r="I23" s="249" t="n"/>
      <c r="J23" s="256" t="inlineStr">
        <is>
          <t>BOOK col should = 0. TAX col: any nonzero amount = cumulative book-tax basis difference not yet reflected in beginning tax capital.</t>
        </is>
      </c>
    </row>
    <row r="24">
      <c r="D24" s="251" t="n"/>
      <c r="E24" s="251" t="n"/>
      <c r="F24" s="251" t="n"/>
      <c r="G24" s="251" t="n"/>
      <c r="H24" s="251" t="n"/>
      <c r="I24" s="251" t="n"/>
      <c r="J24" s="251" t="n"/>
    </row>
    <row r="25" ht="21.75" customHeight="1" s="104">
      <c r="A25" s="243" t="inlineStr">
        <is>
          <t>PAGE 1 — INCOME</t>
        </is>
      </c>
      <c r="B25" s="235" t="n"/>
      <c r="C25" s="235" t="n"/>
      <c r="D25" s="244" t="n"/>
      <c r="E25" s="244" t="n"/>
      <c r="F25" s="244" t="n"/>
      <c r="G25" s="244" t="n"/>
      <c r="H25" s="244" t="n"/>
      <c r="I25" s="244" t="n"/>
      <c r="J25" s="244" t="n"/>
    </row>
    <row r="26" ht="45" customHeight="1" s="104">
      <c r="A26" s="109" t="n">
        <v>11</v>
      </c>
      <c r="B26" s="110" t="inlineStr">
        <is>
          <t>P1 Line 1a</t>
        </is>
      </c>
      <c r="C26" s="110" t="inlineStr">
        <is>
          <t>Gross Receipts or Sales</t>
        </is>
      </c>
      <c r="D26" s="245">
        <f>'Client Books'!D57</f>
        <v/>
      </c>
      <c r="E26" s="251" t="n"/>
      <c r="F26" s="247" t="n">
        <v>0</v>
      </c>
      <c r="G26" s="247" t="n">
        <v>0</v>
      </c>
      <c r="H26" s="248">
        <f>D26+IF(F26,F26,0)-IF(G26,G26,0)</f>
        <v/>
      </c>
      <c r="I26" s="249" t="n"/>
      <c r="J26" s="250" t="inlineStr">
        <is>
          <t>[Enter adjustment notes here]</t>
        </is>
      </c>
    </row>
    <row r="27" ht="19.5" customHeight="1" s="104">
      <c r="A27" s="109" t="n">
        <v>12</v>
      </c>
      <c r="B27" s="110" t="inlineStr">
        <is>
          <t>P1 Line 1b</t>
        </is>
      </c>
      <c r="C27" s="110" t="inlineStr">
        <is>
          <t>Returns and Allowances</t>
        </is>
      </c>
      <c r="D27" s="245">
        <f>'Client Books'!C58</f>
        <v/>
      </c>
      <c r="E27" s="251" t="n"/>
      <c r="F27" s="247" t="n">
        <v>0</v>
      </c>
      <c r="G27" s="247" t="n">
        <v>0</v>
      </c>
      <c r="H27" s="248">
        <f>D27+IF(F27,F27,0)-IF(G27,G27,0)</f>
        <v/>
      </c>
      <c r="I27" s="249" t="n"/>
      <c r="J27" s="256" t="inlineStr">
        <is>
          <t>From Acct 4010 debit. Verify supported by credit memos.</t>
        </is>
      </c>
    </row>
    <row r="28" ht="19.5" customHeight="1" s="104">
      <c r="A28" s="109" t="n">
        <v>13</v>
      </c>
      <c r="B28" s="110" t="inlineStr">
        <is>
          <t>P1 Line 1c</t>
        </is>
      </c>
      <c r="C28" s="110" t="inlineStr">
        <is>
          <t>Net Receipts (1a - 1b)</t>
        </is>
      </c>
      <c r="D28" s="248">
        <f>D26-D27</f>
        <v/>
      </c>
      <c r="E28" s="251" t="n"/>
      <c r="F28" s="248" t="n"/>
      <c r="G28" s="248" t="n"/>
      <c r="H28" s="248">
        <f>H26-H27</f>
        <v/>
      </c>
      <c r="I28" s="249" t="n"/>
      <c r="J28" s="256" t="inlineStr">
        <is>
          <t>Calculated.</t>
        </is>
      </c>
    </row>
    <row r="29" ht="45" customHeight="1" s="104">
      <c r="A29" s="109" t="n">
        <v>14</v>
      </c>
      <c r="B29" s="110" t="inlineStr">
        <is>
          <t>P1 Line 2</t>
        </is>
      </c>
      <c r="C29" s="110" t="inlineStr">
        <is>
          <t>Cost of Goods Sold (Schedule A)</t>
        </is>
      </c>
      <c r="D29" s="245">
        <f>'Client Books'!C76+'Client Books'!C77+'Client Books'!C78+'Client Books'!C79+'Client Books'!C80+'Client Books'!C81-'Client Books'!D82</f>
        <v/>
      </c>
      <c r="E29" s="251" t="n"/>
      <c r="F29" s="247" t="n">
        <v>0</v>
      </c>
      <c r="G29" s="247" t="n">
        <v>0</v>
      </c>
      <c r="H29" s="248">
        <f>D29+IF(F29,F29,0)-IF(G29,G29,0)</f>
        <v/>
      </c>
      <c r="I29" s="249" t="n"/>
      <c r="J29" s="256" t="inlineStr">
        <is>
          <t>Book COGS. Sec 263A UNICAP adj handled via M-1 (not on this line). Verify beg inv = PY ending inv.</t>
        </is>
      </c>
    </row>
    <row r="30" ht="19.5" customHeight="1" s="104">
      <c r="A30" s="109" t="n">
        <v>15</v>
      </c>
      <c r="B30" s="110" t="inlineStr">
        <is>
          <t>P1 Line 3</t>
        </is>
      </c>
      <c r="C30" s="110" t="inlineStr">
        <is>
          <t>Gross Profit (1c - 2)</t>
        </is>
      </c>
      <c r="D30" s="248">
        <f>D28-D29</f>
        <v/>
      </c>
      <c r="E30" s="251" t="n"/>
      <c r="F30" s="248" t="n"/>
      <c r="G30" s="248" t="n"/>
      <c r="H30" s="248">
        <f>H28-H29</f>
        <v/>
      </c>
      <c r="I30" s="249" t="n"/>
      <c r="J30" s="256" t="inlineStr">
        <is>
          <t>Calculated.</t>
        </is>
      </c>
    </row>
    <row r="31" ht="45" customHeight="1" s="104">
      <c r="A31" s="109" t="n">
        <v>16</v>
      </c>
      <c r="B31" s="110" t="inlineStr">
        <is>
          <t>P1 Line 4</t>
        </is>
      </c>
      <c r="C31" s="110" t="inlineStr">
        <is>
          <t>Ordinary Income from Other Partnerships (K-1)</t>
        </is>
      </c>
      <c r="D31" s="245">
        <f>'Client Books'!D71</f>
        <v/>
      </c>
      <c r="E31" s="251" t="n"/>
      <c r="F31" s="247" t="n">
        <v>0</v>
      </c>
      <c r="G31" s="247" t="n">
        <v>0</v>
      </c>
      <c r="H31" s="248">
        <f>D31+IF(F31,F31,0)-IF(G31,G31,0)</f>
        <v/>
      </c>
      <c r="I31" s="249" t="n"/>
      <c r="J31" s="250" t="inlineStr">
        <is>
          <t>[Enter adjustment notes here]</t>
        </is>
      </c>
    </row>
    <row r="32" ht="19.5" customHeight="1" s="104">
      <c r="A32" s="109" t="n">
        <v>17</v>
      </c>
      <c r="B32" s="110" t="inlineStr">
        <is>
          <t>P1 Line 5</t>
        </is>
      </c>
      <c r="C32" s="110" t="inlineStr">
        <is>
          <t>Net Farm Profit (Loss)</t>
        </is>
      </c>
      <c r="D32" s="248" t="n">
        <v>0</v>
      </c>
      <c r="E32" s="251" t="n"/>
      <c r="F32" s="247" t="n">
        <v>0</v>
      </c>
      <c r="G32" s="247" t="n">
        <v>0</v>
      </c>
      <c r="H32" s="248">
        <f>D32+IF(F32,F32,0)-IF(G32,G32,0)</f>
        <v/>
      </c>
      <c r="I32" s="249" t="n"/>
      <c r="J32" s="256" t="inlineStr">
        <is>
          <t>N/A - hide if not applicable.</t>
        </is>
      </c>
    </row>
    <row r="33" ht="45" customHeight="1" s="104">
      <c r="A33" s="109" t="n">
        <v>18</v>
      </c>
      <c r="B33" s="110" t="inlineStr">
        <is>
          <t>P1 Line 6</t>
        </is>
      </c>
      <c r="C33" s="110" t="inlineStr">
        <is>
          <t>Net Gain (Loss) from Form 4797 (ordinary recapture)</t>
        </is>
      </c>
      <c r="D33" s="248" t="n">
        <v>0</v>
      </c>
      <c r="E33" s="246" t="inlineStr">
        <is>
          <t>AJE-03</t>
        </is>
      </c>
      <c r="F33" s="247" t="n"/>
      <c r="G33" s="247" t="n">
        <v>0</v>
      </c>
      <c r="H33" s="248">
        <f>D33+IF(F33,F33,0)-IF(G33,G33,0)</f>
        <v/>
      </c>
      <c r="I33" s="249" t="inlineStr">
        <is>
          <t>M-1 Line 2</t>
        </is>
      </c>
      <c r="J33" s="250" t="inlineStr">
        <is>
          <t>[Enter adjustment notes here]</t>
        </is>
      </c>
    </row>
    <row r="34" ht="45" customHeight="1" s="104">
      <c r="A34" s="109" t="n">
        <v>19</v>
      </c>
      <c r="B34" s="110" t="inlineStr">
        <is>
          <t>P1 Line 7</t>
        </is>
      </c>
      <c r="C34" s="110" t="inlineStr">
        <is>
          <t>Other Income (Loss)</t>
        </is>
      </c>
      <c r="D34" s="245">
        <f>'Client Books'!D73+'Client Books'!D74</f>
        <v/>
      </c>
      <c r="E34" s="246" t="inlineStr">
        <is>
          <t>AJE-04</t>
        </is>
      </c>
      <c r="F34" s="247" t="n">
        <v>0</v>
      </c>
      <c r="G34" s="247" t="n"/>
      <c r="H34" s="248">
        <f>D34+IF(F34,F34,0)-IF(G34,G34,0)</f>
        <v/>
      </c>
      <c r="I34" s="249" t="inlineStr">
        <is>
          <t>M-1 Line 6 (Sec 108)</t>
        </is>
      </c>
      <c r="J34" s="250" t="inlineStr">
        <is>
          <t>[Enter adjustment notes here]</t>
        </is>
      </c>
    </row>
    <row r="35" ht="19.5" customHeight="1" s="104">
      <c r="A35" s="131" t="n">
        <v>20</v>
      </c>
      <c r="B35" s="132" t="inlineStr">
        <is>
          <t>P1 Line 8</t>
        </is>
      </c>
      <c r="C35" s="133" t="inlineStr">
        <is>
          <t>TOTAL INCOME (Lines 3-7)</t>
        </is>
      </c>
      <c r="D35" s="257">
        <f>D30+D31+D32+D33+D34</f>
        <v/>
      </c>
      <c r="E35" s="251" t="n"/>
      <c r="F35" s="248" t="n"/>
      <c r="G35" s="248" t="n"/>
      <c r="H35" s="257">
        <f>H30+H31+H32+H33+H34</f>
        <v/>
      </c>
      <c r="I35" s="249" t="n"/>
      <c r="J35" s="256" t="inlineStr">
        <is>
          <t>Sum of Lines 3-7.</t>
        </is>
      </c>
    </row>
    <row r="36" ht="21.75" customHeight="1" s="104">
      <c r="A36" s="243" t="inlineStr">
        <is>
          <t>PAGE 1 — DEDUCTIONS</t>
        </is>
      </c>
      <c r="B36" s="235" t="n"/>
      <c r="C36" s="235" t="n"/>
      <c r="D36" s="244" t="n"/>
      <c r="E36" s="244" t="n"/>
      <c r="F36" s="244" t="n"/>
      <c r="G36" s="244" t="n"/>
      <c r="H36" s="244" t="n"/>
      <c r="I36" s="244" t="n"/>
      <c r="J36" s="244" t="n"/>
    </row>
    <row r="37" ht="45" customHeight="1" s="104">
      <c r="A37" s="109" t="n">
        <v>21</v>
      </c>
      <c r="B37" s="110" t="inlineStr">
        <is>
          <t>P1 Line 9</t>
        </is>
      </c>
      <c r="C37" s="110" t="inlineStr">
        <is>
          <t>Salaries and Wages (not to partners)</t>
        </is>
      </c>
      <c r="D37" s="245">
        <f>'Client Books'!C84</f>
        <v/>
      </c>
      <c r="E37" s="246" t="inlineStr">
        <is>
          <t>AJE-07</t>
        </is>
      </c>
      <c r="F37" s="247" t="n">
        <v>0</v>
      </c>
      <c r="G37" s="247" t="n"/>
      <c r="H37" s="248">
        <f>D37+IF(F37,F37,0)-IF(G37,G37,0)</f>
        <v/>
      </c>
      <c r="I37" s="249" t="inlineStr">
        <is>
          <t>M-1 4c (Sec 267)</t>
        </is>
      </c>
      <c r="J37" s="250" t="inlineStr">
        <is>
          <t>[Enter adjustment notes here]</t>
        </is>
      </c>
    </row>
    <row r="38" ht="45" customHeight="1" s="104">
      <c r="A38" s="109" t="n">
        <v>22</v>
      </c>
      <c r="B38" s="110" t="inlineStr">
        <is>
          <t>P1 Line 10</t>
        </is>
      </c>
      <c r="C38" s="110" t="inlineStr">
        <is>
          <t>Guaranteed Payments to Partners</t>
        </is>
      </c>
      <c r="D38" s="245">
        <f>'Client Books'!C85+'Client Books'!C86+'Client Books'!C87</f>
        <v/>
      </c>
      <c r="E38" s="251" t="n"/>
      <c r="F38" s="247" t="n">
        <v>0</v>
      </c>
      <c r="G38" s="247" t="n">
        <v>0</v>
      </c>
      <c r="H38" s="248">
        <f>D38+IF(F38,F38,0)-IF(G38,G38,0)</f>
        <v/>
      </c>
      <c r="I38" s="249" t="n"/>
      <c r="J38" s="250" t="inlineStr">
        <is>
          <t>[Enter adjustment notes here]</t>
        </is>
      </c>
    </row>
    <row r="39" ht="45" customHeight="1" s="104">
      <c r="A39" s="109" t="n">
        <v>23</v>
      </c>
      <c r="B39" s="110" t="inlineStr">
        <is>
          <t>P1 Line 11</t>
        </is>
      </c>
      <c r="C39" s="110" t="inlineStr">
        <is>
          <t>Repairs and Maintenance</t>
        </is>
      </c>
      <c r="D39" s="245">
        <f>'Client Books'!C96</f>
        <v/>
      </c>
      <c r="E39" s="251" t="n"/>
      <c r="F39" s="247" t="n">
        <v>0</v>
      </c>
      <c r="G39" s="247" t="n">
        <v>0</v>
      </c>
      <c r="H39" s="248">
        <f>D39+IF(F39,F39,0)-IF(G39,G39,0)</f>
        <v/>
      </c>
      <c r="I39" s="249" t="n"/>
      <c r="J39" s="250" t="inlineStr">
        <is>
          <t>[Enter adjustment notes here]</t>
        </is>
      </c>
    </row>
    <row r="40" ht="45" customHeight="1" s="104">
      <c r="A40" s="109" t="n">
        <v>24</v>
      </c>
      <c r="B40" s="110" t="inlineStr">
        <is>
          <t>P1 Line 12</t>
        </is>
      </c>
      <c r="C40" s="110" t="inlineStr">
        <is>
          <t>Bad Debts</t>
        </is>
      </c>
      <c r="D40" s="245">
        <f>'Client Books'!C124</f>
        <v/>
      </c>
      <c r="E40" s="246" t="inlineStr">
        <is>
          <t>AJE-08</t>
        </is>
      </c>
      <c r="F40" s="247" t="n">
        <v>0</v>
      </c>
      <c r="G40" s="247" t="n"/>
      <c r="H40" s="248">
        <f>D40+IF(F40,F40,0)-IF(G40,G40,0)</f>
        <v/>
      </c>
      <c r="I40" s="249" t="inlineStr">
        <is>
          <t>M-1 4c (Reserve)</t>
        </is>
      </c>
      <c r="J40" s="250" t="inlineStr">
        <is>
          <t>[Enter adjustment notes here]</t>
        </is>
      </c>
    </row>
    <row r="41" ht="19.5" customHeight="1" s="104">
      <c r="A41" s="109" t="n">
        <v>25</v>
      </c>
      <c r="B41" s="110" t="inlineStr">
        <is>
          <t>P1 Line 13</t>
        </is>
      </c>
      <c r="C41" s="110" t="inlineStr">
        <is>
          <t>Rent</t>
        </is>
      </c>
      <c r="D41" s="245">
        <f>'Client Books'!C94+'Client Books'!C95</f>
        <v/>
      </c>
      <c r="E41" s="251" t="n"/>
      <c r="F41" s="247" t="n">
        <v>0</v>
      </c>
      <c r="G41" s="247" t="n">
        <v>0</v>
      </c>
      <c r="H41" s="248">
        <f>D41+IF(F41,F41,0)-IF(G41,G41,0)</f>
        <v/>
      </c>
      <c r="I41" s="249" t="n"/>
      <c r="J41" s="250" t="inlineStr">
        <is>
          <t>[Enter adjustment notes here]</t>
        </is>
      </c>
    </row>
    <row r="42" ht="45" customHeight="1" s="104">
      <c r="A42" s="109" t="n">
        <v>26</v>
      </c>
      <c r="B42" s="110" t="inlineStr">
        <is>
          <t>P1 Line 14</t>
        </is>
      </c>
      <c r="C42" s="110" t="inlineStr">
        <is>
          <t>Taxes and Licenses</t>
        </is>
      </c>
      <c r="D42" s="245">
        <f>'Client Books'!C121+'Client Books'!C123</f>
        <v/>
      </c>
      <c r="E42" s="251" t="n"/>
      <c r="F42" s="247" t="n">
        <v>0</v>
      </c>
      <c r="G42" s="247" t="n">
        <v>0</v>
      </c>
      <c r="H42" s="248">
        <f>D42+IF(F42,F42,0)-IF(G42,G42,0)</f>
        <v/>
      </c>
      <c r="I42" s="249" t="n"/>
      <c r="J42" s="250" t="inlineStr">
        <is>
          <t>[Enter adjustment notes here]</t>
        </is>
      </c>
    </row>
    <row r="43" ht="45" customHeight="1" s="104">
      <c r="A43" s="109" t="n">
        <v>27</v>
      </c>
      <c r="B43" s="110" t="inlineStr">
        <is>
          <t>P1 Line 15</t>
        </is>
      </c>
      <c r="C43" s="110" t="inlineStr">
        <is>
          <t>Interest (trade/business)</t>
        </is>
      </c>
      <c r="D43" s="245">
        <f>'Client Books'!C118+'Client Books'!C119</f>
        <v/>
      </c>
      <c r="E43" s="251" t="n"/>
      <c r="F43" s="247" t="n">
        <v>0</v>
      </c>
      <c r="G43" s="247" t="n">
        <v>0</v>
      </c>
      <c r="H43" s="248">
        <f>D43+IF(F43,F43,0)-IF(G43,G43,0)</f>
        <v/>
      </c>
      <c r="I43" s="249" t="n"/>
      <c r="J43" s="250" t="inlineStr">
        <is>
          <t>[Enter adjustment notes here]</t>
        </is>
      </c>
    </row>
    <row r="44" ht="45" customHeight="1" s="104">
      <c r="A44" s="109" t="n">
        <v>28</v>
      </c>
      <c r="B44" s="110" t="inlineStr">
        <is>
          <t>P1 Line 16a</t>
        </is>
      </c>
      <c r="C44" s="110" t="inlineStr">
        <is>
          <t>Tax Depreciation (MACRS, excl Sch A and Sec 179)</t>
        </is>
      </c>
      <c r="D44" s="245">
        <f>'Client Books'!C98</f>
        <v/>
      </c>
      <c r="E44" s="246" t="inlineStr">
        <is>
          <t>AJE-01</t>
        </is>
      </c>
      <c r="F44" s="247" t="n"/>
      <c r="G44" s="247" t="n">
        <v>0</v>
      </c>
      <c r="H44" s="248">
        <f>D44+IF(F44,F44,0)-IF(G44,G44,0)</f>
        <v/>
      </c>
      <c r="I44" s="249" t="inlineStr">
        <is>
          <t>M-1 Lines 4a/7</t>
        </is>
      </c>
      <c r="J44" s="250" t="inlineStr">
        <is>
          <t>[Enter adjustment notes here]</t>
        </is>
      </c>
    </row>
    <row r="45" ht="19.5" customHeight="1" s="104">
      <c r="A45" s="109" t="n">
        <v>29</v>
      </c>
      <c r="B45" s="110" t="inlineStr">
        <is>
          <t>P1 Line 16b</t>
        </is>
      </c>
      <c r="C45" s="110" t="inlineStr">
        <is>
          <t>Less: Depreciation in COGS</t>
        </is>
      </c>
      <c r="D45" s="245">
        <f>'Client Books'!C80</f>
        <v/>
      </c>
      <c r="E45" s="251" t="n"/>
      <c r="F45" s="247" t="n">
        <v>0</v>
      </c>
      <c r="G45" s="247" t="n">
        <v>0</v>
      </c>
      <c r="H45" s="248">
        <f>D45+IF(F45,F45,0)-IF(G45,G45,0)</f>
        <v/>
      </c>
      <c r="I45" s="249" t="n"/>
      <c r="J45" s="250" t="inlineStr">
        <is>
          <t>[Enter adjustment notes here]</t>
        </is>
      </c>
    </row>
    <row r="46" ht="19.5" customHeight="1" s="104">
      <c r="A46" s="109" t="n">
        <v>30</v>
      </c>
      <c r="B46" s="110" t="inlineStr">
        <is>
          <t>P1 Line 16c</t>
        </is>
      </c>
      <c r="C46" s="110" t="inlineStr">
        <is>
          <t>Net Depreciation (16a - 16b)</t>
        </is>
      </c>
      <c r="D46" s="248">
        <f>D44-D45</f>
        <v/>
      </c>
      <c r="E46" s="251" t="n"/>
      <c r="F46" s="248" t="n"/>
      <c r="G46" s="248" t="n"/>
      <c r="H46" s="248">
        <f>H44-H45</f>
        <v/>
      </c>
      <c r="I46" s="249" t="n"/>
      <c r="J46" s="256" t="inlineStr">
        <is>
          <t>Calculated.</t>
        </is>
      </c>
    </row>
    <row r="47" ht="19.5" customHeight="1" s="104">
      <c r="A47" s="109" t="n">
        <v>31</v>
      </c>
      <c r="B47" s="110" t="inlineStr">
        <is>
          <t>P1 Line 17</t>
        </is>
      </c>
      <c r="C47" s="110" t="inlineStr">
        <is>
          <t>Depletion</t>
        </is>
      </c>
      <c r="D47" s="248" t="n">
        <v>0</v>
      </c>
      <c r="E47" s="251" t="n"/>
      <c r="F47" s="247" t="n">
        <v>0</v>
      </c>
      <c r="G47" s="247" t="n">
        <v>0</v>
      </c>
      <c r="H47" s="248">
        <f>D47+IF(F47,F47,0)-IF(G47,G47,0)</f>
        <v/>
      </c>
      <c r="I47" s="249" t="n"/>
      <c r="J47" s="256" t="inlineStr">
        <is>
          <t>N/A.</t>
        </is>
      </c>
    </row>
    <row r="48" ht="19.5" customHeight="1" s="104">
      <c r="A48" s="109" t="n">
        <v>32</v>
      </c>
      <c r="B48" s="110" t="inlineStr">
        <is>
          <t>P1 Line 18</t>
        </is>
      </c>
      <c r="C48" s="110" t="inlineStr">
        <is>
          <t>Retirement Plans</t>
        </is>
      </c>
      <c r="D48" s="245">
        <f>'Client Books'!C92</f>
        <v/>
      </c>
      <c r="E48" s="251" t="n"/>
      <c r="F48" s="247" t="n">
        <v>0</v>
      </c>
      <c r="G48" s="247" t="n">
        <v>0</v>
      </c>
      <c r="H48" s="248">
        <f>D48+IF(F48,F48,0)-IF(G48,G48,0)</f>
        <v/>
      </c>
      <c r="I48" s="249" t="n"/>
      <c r="J48" s="250" t="inlineStr">
        <is>
          <t>[Enter adjustment notes here]</t>
        </is>
      </c>
    </row>
    <row r="49" ht="45" customHeight="1" s="104">
      <c r="A49" s="109" t="n">
        <v>33</v>
      </c>
      <c r="B49" s="110" t="inlineStr">
        <is>
          <t>P1 Line 19</t>
        </is>
      </c>
      <c r="C49" s="110" t="inlineStr">
        <is>
          <t>Employee Benefit Programs</t>
        </is>
      </c>
      <c r="D49" s="245">
        <f>'Client Books'!C89+'Client Books'!C93</f>
        <v/>
      </c>
      <c r="E49" s="251" t="n"/>
      <c r="F49" s="247" t="n">
        <v>0</v>
      </c>
      <c r="G49" s="247" t="n">
        <v>0</v>
      </c>
      <c r="H49" s="248">
        <f>D49+IF(F49,F49,0)-IF(G49,G49,0)</f>
        <v/>
      </c>
      <c r="I49" s="249" t="n"/>
      <c r="J49" s="250" t="inlineStr">
        <is>
          <t>[Enter adjustment notes here]</t>
        </is>
      </c>
    </row>
    <row r="50" ht="45" customHeight="1" s="104">
      <c r="A50" s="109" t="n">
        <v>34</v>
      </c>
      <c r="B50" s="110" t="inlineStr">
        <is>
          <t>P1 Line 20</t>
        </is>
      </c>
      <c r="C50" s="110" t="inlineStr">
        <is>
          <t>Other Deductions (attach statement)</t>
        </is>
      </c>
      <c r="D50" s="245">
        <f>'Client Books'!C88+'Client Books'!C101+'Client Books'!C102+'Client Books'!C103+'Client Books'!C104+'Client Books'!C105+'Client Books'!C106+'Client Books'!C107+'Client Books'!C108+'Client Books'!C109+'Client Books'!C110+'Client Books'!C114+'Client Books'!C128</f>
        <v/>
      </c>
      <c r="E50" s="251" t="n"/>
      <c r="F50" s="247" t="n">
        <v>0</v>
      </c>
      <c r="G50" s="247" t="n">
        <v>0</v>
      </c>
      <c r="H50" s="248">
        <f>D50+IF(F50,F50,0)-IF(G50,G50,0)</f>
        <v/>
      </c>
      <c r="I50" s="249" t="n"/>
      <c r="J50" s="256" t="inlineStr">
        <is>
          <t>Payroll taxes, utilities, phone, supplies, postage, insurance, professional fees, advertising, travel, auto, misc.</t>
        </is>
      </c>
    </row>
    <row r="51" ht="19.5" customHeight="1" s="104">
      <c r="A51" s="109" t="n"/>
      <c r="B51" s="110" t="n"/>
      <c r="C51" s="110" t="inlineStr">
        <is>
          <t xml:space="preserve">  &gt; Meals (50% deductible)</t>
        </is>
      </c>
      <c r="D51" s="245">
        <f>'Client Books'!C111</f>
        <v/>
      </c>
      <c r="E51" s="246" t="inlineStr">
        <is>
          <t>AJE-14</t>
        </is>
      </c>
      <c r="F51" s="247" t="n">
        <v>0</v>
      </c>
      <c r="G51" s="247" t="n"/>
      <c r="H51" s="248">
        <f>D51+IF(F51,F51,0)-IF(G51,G51,0)</f>
        <v/>
      </c>
      <c r="I51" s="249" t="inlineStr">
        <is>
          <t>M-1 4b / K 18c</t>
        </is>
      </c>
      <c r="J51" s="250" t="inlineStr">
        <is>
          <t>[Enter adjustment notes here]</t>
        </is>
      </c>
    </row>
    <row r="52" ht="19.5" customHeight="1" s="104">
      <c r="A52" s="109" t="n"/>
      <c r="B52" s="110" t="n"/>
      <c r="C52" s="110" t="inlineStr">
        <is>
          <t xml:space="preserve">  &gt; Entertainment (100% nondeductible)</t>
        </is>
      </c>
      <c r="D52" s="245">
        <f>'Client Books'!C112</f>
        <v/>
      </c>
      <c r="E52" s="246" t="inlineStr">
        <is>
          <t>AJE-15</t>
        </is>
      </c>
      <c r="F52" s="247" t="n">
        <v>0</v>
      </c>
      <c r="G52" s="247" t="n"/>
      <c r="H52" s="248">
        <f>D52+IF(F52,F52,0)-IF(G52,G52,0)</f>
        <v/>
      </c>
      <c r="I52" s="249" t="inlineStr">
        <is>
          <t>M-1 4b / K 18c</t>
        </is>
      </c>
      <c r="J52" s="250" t="inlineStr">
        <is>
          <t>[Enter adjustment notes here]</t>
        </is>
      </c>
    </row>
    <row r="53" ht="19.5" customHeight="1" s="104">
      <c r="A53" s="109" t="n"/>
      <c r="B53" s="110" t="n"/>
      <c r="C53" s="110" t="inlineStr">
        <is>
          <t xml:space="preserve">  &gt; Club Dues (100% nondeductible)</t>
        </is>
      </c>
      <c r="D53" s="245">
        <f>'Client Books'!C113</f>
        <v/>
      </c>
      <c r="E53" s="246" t="inlineStr">
        <is>
          <t>AJE-16</t>
        </is>
      </c>
      <c r="F53" s="247" t="n">
        <v>0</v>
      </c>
      <c r="G53" s="247" t="n"/>
      <c r="H53" s="248">
        <f>D53+IF(F53,F53,0)-IF(G53,G53,0)</f>
        <v/>
      </c>
      <c r="I53" s="249" t="inlineStr">
        <is>
          <t>M-1 4c / K 18c</t>
        </is>
      </c>
      <c r="J53" s="250" t="inlineStr">
        <is>
          <t>[Enter adjustment notes here]</t>
        </is>
      </c>
    </row>
    <row r="54" ht="19.5" customHeight="1" s="104">
      <c r="A54" s="109" t="n"/>
      <c r="B54" s="110" t="n"/>
      <c r="C54" s="110" t="inlineStr">
        <is>
          <t xml:space="preserve">  &gt; Penalties &amp; Fines (nondeductible Sec 162(f))</t>
        </is>
      </c>
      <c r="D54" s="245">
        <f>'Client Books'!C116</f>
        <v/>
      </c>
      <c r="E54" s="246" t="inlineStr">
        <is>
          <t>AJE-17</t>
        </is>
      </c>
      <c r="F54" s="247" t="n">
        <v>0</v>
      </c>
      <c r="G54" s="247" t="n"/>
      <c r="H54" s="248">
        <f>D54+IF(F54,F54,0)-IF(G54,G54,0)</f>
        <v/>
      </c>
      <c r="I54" s="249" t="inlineStr">
        <is>
          <t>M-1 4c / K 18c</t>
        </is>
      </c>
      <c r="J54" s="250" t="inlineStr">
        <is>
          <t>[Enter adjustment notes here]</t>
        </is>
      </c>
    </row>
    <row r="55" ht="19.5" customHeight="1" s="104">
      <c r="A55" s="109" t="n"/>
      <c r="B55" s="110" t="n"/>
      <c r="C55" s="110" t="inlineStr">
        <is>
          <t xml:space="preserve">  &gt; Political Contributions (nondeductible)</t>
        </is>
      </c>
      <c r="D55" s="245">
        <f>'Client Books'!C117</f>
        <v/>
      </c>
      <c r="E55" s="246" t="inlineStr">
        <is>
          <t>AJE-18</t>
        </is>
      </c>
      <c r="F55" s="247" t="n">
        <v>0</v>
      </c>
      <c r="G55" s="247" t="n"/>
      <c r="H55" s="248">
        <f>D55+IF(F55,F55,0)-IF(G55,G55,0)</f>
        <v/>
      </c>
      <c r="I55" s="249" t="inlineStr">
        <is>
          <t>M-1 4c / K 18c</t>
        </is>
      </c>
      <c r="J55" s="250" t="inlineStr">
        <is>
          <t>[Enter adjustment notes here]</t>
        </is>
      </c>
    </row>
    <row r="56" ht="19.5" customHeight="1" s="104">
      <c r="A56" s="109" t="n"/>
      <c r="B56" s="110" t="n"/>
      <c r="C56" s="110" t="inlineStr">
        <is>
          <t xml:space="preserve">  &gt; Life Insurance (partnership beneficiary - nondeductible)</t>
        </is>
      </c>
      <c r="D56" s="245">
        <f>'Client Books'!C127</f>
        <v/>
      </c>
      <c r="E56" s="246" t="inlineStr">
        <is>
          <t>AJE-19</t>
        </is>
      </c>
      <c r="F56" s="247" t="n">
        <v>0</v>
      </c>
      <c r="G56" s="247" t="n"/>
      <c r="H56" s="248">
        <f>D56+IF(F56,F56,0)-IF(G56,G56,0)</f>
        <v/>
      </c>
      <c r="I56" s="249" t="inlineStr">
        <is>
          <t>M-1 4c / K 18c</t>
        </is>
      </c>
      <c r="J56" s="250" t="inlineStr">
        <is>
          <t>[Enter adjustment notes here]</t>
        </is>
      </c>
    </row>
    <row r="57" ht="19.5" customHeight="1" s="104">
      <c r="A57" s="109" t="n"/>
      <c r="B57" s="110" t="n"/>
      <c r="C57" s="110" t="inlineStr">
        <is>
          <t xml:space="preserve">  &gt; State Income/Franchise Tax (nondeductible federal)</t>
        </is>
      </c>
      <c r="D57" s="245">
        <f>'Client Books'!C122</f>
        <v/>
      </c>
      <c r="E57" s="246" t="inlineStr">
        <is>
          <t>AJE-20</t>
        </is>
      </c>
      <c r="F57" s="247" t="n">
        <v>0</v>
      </c>
      <c r="G57" s="247" t="n"/>
      <c r="H57" s="248">
        <f>D57+IF(F57,F57,0)-IF(G57,G57,0)</f>
        <v/>
      </c>
      <c r="I57" s="249" t="inlineStr">
        <is>
          <t>M-1 4c / K 18c</t>
        </is>
      </c>
      <c r="J57" s="250" t="inlineStr">
        <is>
          <t>[Enter adjustment notes here]</t>
        </is>
      </c>
    </row>
    <row r="58" ht="45" customHeight="1" s="104">
      <c r="A58" s="109" t="n"/>
      <c r="B58" s="110" t="n"/>
      <c r="C58" s="110" t="inlineStr">
        <is>
          <t xml:space="preserve">  &gt; Warranty Reserve (not deductible until paid)</t>
        </is>
      </c>
      <c r="D58" s="245">
        <f>'Client Books'!C125</f>
        <v/>
      </c>
      <c r="E58" s="246" t="inlineStr">
        <is>
          <t>AJE-09</t>
        </is>
      </c>
      <c r="F58" s="247" t="n">
        <v>0</v>
      </c>
      <c r="G58" s="247" t="n"/>
      <c r="H58" s="248">
        <f>D58+IF(F58,F58,0)-IF(G58,G58,0)</f>
        <v/>
      </c>
      <c r="I58" s="249" t="inlineStr">
        <is>
          <t>M-1 4c</t>
        </is>
      </c>
      <c r="J58" s="250" t="inlineStr">
        <is>
          <t>[Enter adjustment notes here]</t>
        </is>
      </c>
    </row>
    <row r="59" ht="19.5" customHeight="1" s="104">
      <c r="A59" s="109" t="n"/>
      <c r="B59" s="110" t="n"/>
      <c r="C59" s="110" t="inlineStr">
        <is>
          <t xml:space="preserve">  &gt; Litigation Reserve (not deductible until settled)</t>
        </is>
      </c>
      <c r="D59" s="245">
        <f>'Client Books'!C126</f>
        <v/>
      </c>
      <c r="E59" s="246" t="inlineStr">
        <is>
          <t>AJE-10</t>
        </is>
      </c>
      <c r="F59" s="247" t="n">
        <v>0</v>
      </c>
      <c r="G59" s="247" t="n"/>
      <c r="H59" s="248">
        <f>D59+IF(F59,F59,0)-IF(G59,G59,0)</f>
        <v/>
      </c>
      <c r="I59" s="249" t="inlineStr">
        <is>
          <t>M-1 4c</t>
        </is>
      </c>
      <c r="J59" s="250" t="inlineStr">
        <is>
          <t>[Enter adjustment notes here]</t>
        </is>
      </c>
    </row>
    <row r="60" ht="19.5" customHeight="1" s="104">
      <c r="A60" s="109" t="n"/>
      <c r="B60" s="110" t="n"/>
      <c r="C60" s="110" t="inlineStr">
        <is>
          <t xml:space="preserve">  &gt; Partner Health Ins (to K-1 Line 13 Code M)</t>
        </is>
      </c>
      <c r="D60" s="245">
        <f>'Client Books'!C90+'Client Books'!C91</f>
        <v/>
      </c>
      <c r="E60" s="246" t="inlineStr">
        <is>
          <t>AJE-22</t>
        </is>
      </c>
      <c r="F60" s="247" t="n">
        <v>0</v>
      </c>
      <c r="G60" s="247" t="n"/>
      <c r="H60" s="248">
        <f>D60+IF(F60,F60,0)-IF(G60,G60,0)</f>
        <v/>
      </c>
      <c r="I60" s="249" t="inlineStr">
        <is>
          <t>K-1 Line 13M</t>
        </is>
      </c>
      <c r="J60" s="250" t="inlineStr">
        <is>
          <t>[Enter adjustment notes here]</t>
        </is>
      </c>
    </row>
    <row r="61" ht="45" customHeight="1" s="104">
      <c r="A61" s="109" t="n"/>
      <c r="B61" s="110" t="n"/>
      <c r="C61" s="110" t="inlineStr">
        <is>
          <t xml:space="preserve">  &gt; Capital Improvement (reclassed to asset, Sec 179)</t>
        </is>
      </c>
      <c r="D61" s="245">
        <f>'Client Books'!C97</f>
        <v/>
      </c>
      <c r="E61" s="246" t="inlineStr">
        <is>
          <t>AJE-02</t>
        </is>
      </c>
      <c r="F61" s="247" t="n">
        <v>0</v>
      </c>
      <c r="G61" s="247" t="n"/>
      <c r="H61" s="248">
        <f>D61+IF(F61,F61,0)-IF(G61,G61,0)</f>
        <v/>
      </c>
      <c r="I61" s="249" t="inlineStr">
        <is>
          <t>M-1 Line 7 (Sec 179)</t>
        </is>
      </c>
      <c r="J61" s="250" t="inlineStr">
        <is>
          <t>[Enter adjustment notes here]</t>
        </is>
      </c>
    </row>
    <row r="62" ht="19.5" customHeight="1" s="104">
      <c r="A62" s="109" t="n"/>
      <c r="B62" s="110" t="n"/>
      <c r="C62" s="110" t="inlineStr">
        <is>
          <t xml:space="preserve">  &gt; Goodwill Amort (book 10yr vs tax Sec 197 15yr)</t>
        </is>
      </c>
      <c r="D62" s="245">
        <f>'Client Books'!C99</f>
        <v/>
      </c>
      <c r="E62" s="246" t="inlineStr">
        <is>
          <t>AJE-12</t>
        </is>
      </c>
      <c r="F62" s="247" t="n">
        <v>0</v>
      </c>
      <c r="G62" s="247" t="n"/>
      <c r="H62" s="248">
        <f>D62+IF(F62,F62,0)-IF(G62,G62,0)</f>
        <v/>
      </c>
      <c r="I62" s="249" t="inlineStr">
        <is>
          <t>M-1 4a/7</t>
        </is>
      </c>
      <c r="J62" s="250" t="inlineStr">
        <is>
          <t>[Enter adjustment notes here]</t>
        </is>
      </c>
    </row>
    <row r="63" ht="19.5" customHeight="1" s="104">
      <c r="A63" s="109" t="n"/>
      <c r="B63" s="110" t="n"/>
      <c r="C63" s="110" t="inlineStr">
        <is>
          <t xml:space="preserve">  &gt; Patent Amort (book 10yr vs tax Sec 197 15yr)</t>
        </is>
      </c>
      <c r="D63" s="245">
        <f>'Client Books'!C100</f>
        <v/>
      </c>
      <c r="E63" s="246" t="inlineStr">
        <is>
          <t>AJE-13</t>
        </is>
      </c>
      <c r="F63" s="247" t="n">
        <v>0</v>
      </c>
      <c r="G63" s="247" t="n"/>
      <c r="H63" s="248">
        <f>D63+IF(F63,F63,0)-IF(G63,G63,0)</f>
        <v/>
      </c>
      <c r="I63" s="249" t="inlineStr">
        <is>
          <t>M-1 4a/7</t>
        </is>
      </c>
      <c r="J63" s="250" t="inlineStr">
        <is>
          <t>[Enter adjustment notes here]</t>
        </is>
      </c>
    </row>
    <row r="64" ht="45" customHeight="1" s="104">
      <c r="A64" s="109" t="n"/>
      <c r="B64" s="110" t="n"/>
      <c r="C64" s="110" t="inlineStr">
        <is>
          <t xml:space="preserve">  &gt; Charitable Contributions (separately stated, K 13a)</t>
        </is>
      </c>
      <c r="D64" s="245">
        <f>'Client Books'!C115</f>
        <v/>
      </c>
      <c r="E64" s="246" t="inlineStr">
        <is>
          <t>AJE-23</t>
        </is>
      </c>
      <c r="F64" s="247" t="n">
        <v>0</v>
      </c>
      <c r="G64" s="247" t="n"/>
      <c r="H64" s="248">
        <f>D64+IF(F64,F64,0)-IF(G64,G64,0)</f>
        <v/>
      </c>
      <c r="I64" s="249" t="inlineStr">
        <is>
          <t>K Line 13a</t>
        </is>
      </c>
      <c r="J64" s="250" t="inlineStr">
        <is>
          <t>[Enter adjustment notes here]</t>
        </is>
      </c>
    </row>
    <row r="65" ht="19.5" customHeight="1" s="104">
      <c r="A65" s="109" t="n"/>
      <c r="B65" s="110" t="n"/>
      <c r="C65" s="110" t="inlineStr">
        <is>
          <t xml:space="preserve">  &gt; Investment Interest (separately stated, K 13b)</t>
        </is>
      </c>
      <c r="D65" s="245">
        <f>'Client Books'!C120</f>
        <v/>
      </c>
      <c r="E65" s="246" t="inlineStr">
        <is>
          <t>AJE-24</t>
        </is>
      </c>
      <c r="F65" s="247" t="n">
        <v>0</v>
      </c>
      <c r="G65" s="247" t="n"/>
      <c r="H65" s="248">
        <f>D65+IF(F65,F65,0)-IF(G65,G65,0)</f>
        <v/>
      </c>
      <c r="I65" s="249" t="inlineStr">
        <is>
          <t>K Line 13b</t>
        </is>
      </c>
      <c r="J65" s="250" t="inlineStr">
        <is>
          <t>[Enter adjustment notes here]</t>
        </is>
      </c>
    </row>
    <row r="66" ht="19.5" customHeight="1" s="104">
      <c r="A66" s="131" t="n">
        <v>35</v>
      </c>
      <c r="B66" s="132" t="inlineStr">
        <is>
          <t>P1 Line 21</t>
        </is>
      </c>
      <c r="C66" s="133" t="inlineStr">
        <is>
          <t>TOTAL DEDUCTIONS (Lines 9-20)</t>
        </is>
      </c>
      <c r="D66" s="257">
        <f>D37+D38+D39+D40+D41+D42+D43+D46+D47+D48+D49+D50+D51+D52+D53+D54+D55+D56+D57+D58+D59+D60+D61+D62+D63+D64+D65</f>
        <v/>
      </c>
      <c r="E66" s="251" t="n"/>
      <c r="F66" s="248" t="n"/>
      <c r="G66" s="248" t="n"/>
      <c r="H66" s="257">
        <f>H37+H38+H39+H40+H41+H42+H43+H46+H47+H48+H49+H50+H51+H52+H53+H54+H55+H56+H57+H58+H59+H60+H61+H62+H63+H64+H65</f>
        <v/>
      </c>
      <c r="I66" s="249" t="n"/>
      <c r="J66" s="256" t="inlineStr">
        <is>
          <t>Sum of all P1 deduction tax amounts.</t>
        </is>
      </c>
    </row>
    <row r="67" ht="19.5" customHeight="1" s="104">
      <c r="A67" s="131" t="n">
        <v>36</v>
      </c>
      <c r="B67" s="132" t="inlineStr">
        <is>
          <t>P1 Line 22</t>
        </is>
      </c>
      <c r="C67" s="133" t="inlineStr">
        <is>
          <t>ORDINARY BUSINESS INCOME (LOSS) = Line 8 - Line 21</t>
        </is>
      </c>
      <c r="D67" s="257">
        <f>D35-D66</f>
        <v/>
      </c>
      <c r="E67" s="251" t="n"/>
      <c r="F67" s="248" t="n"/>
      <c r="G67" s="248" t="n"/>
      <c r="H67" s="257">
        <f>H35-H66</f>
        <v/>
      </c>
      <c r="I67" s="249" t="n"/>
      <c r="J67" s="256" t="inlineStr">
        <is>
          <t>Equals K Line 1 and each K-1 Line 1. QBI starting point.</t>
        </is>
      </c>
    </row>
    <row r="68">
      <c r="D68" s="251" t="n"/>
      <c r="E68" s="251" t="n"/>
      <c r="F68" s="251" t="n"/>
      <c r="G68" s="251" t="n"/>
      <c r="H68" s="251" t="n"/>
      <c r="I68" s="251" t="n"/>
      <c r="J68" s="251" t="n"/>
    </row>
    <row r="69" ht="21.75" customHeight="1" s="104">
      <c r="A69" s="243" t="inlineStr">
        <is>
          <t>SCHEDULE K — SEPARATELY STATED ITEMS</t>
        </is>
      </c>
      <c r="B69" s="235" t="n"/>
      <c r="C69" s="235" t="n"/>
      <c r="D69" s="244" t="n"/>
      <c r="E69" s="244" t="n"/>
      <c r="F69" s="244" t="n"/>
      <c r="G69" s="244" t="n"/>
      <c r="H69" s="244" t="n"/>
      <c r="I69" s="244" t="n"/>
      <c r="J69" s="244" t="n"/>
    </row>
    <row r="70" ht="19.5" customHeight="1" s="104">
      <c r="A70" s="109" t="n">
        <v>37</v>
      </c>
      <c r="B70" s="110" t="inlineStr">
        <is>
          <t>K Line 1</t>
        </is>
      </c>
      <c r="C70" s="110" t="inlineStr">
        <is>
          <t>Ordinary Business Income (Loss) = P1 Line 22</t>
        </is>
      </c>
      <c r="D70" s="248">
        <f>D67</f>
        <v/>
      </c>
      <c r="E70" s="251" t="n"/>
      <c r="F70" s="248" t="n"/>
      <c r="G70" s="248" t="n"/>
      <c r="H70" s="248">
        <f>H67</f>
        <v/>
      </c>
      <c r="I70" s="249" t="n"/>
      <c r="J70" s="256" t="inlineStr">
        <is>
          <t>Auto-tied from P1 Line 22.</t>
        </is>
      </c>
    </row>
    <row r="71" ht="45" customHeight="1" s="104">
      <c r="A71" s="109" t="n">
        <v>38</v>
      </c>
      <c r="B71" s="110" t="inlineStr">
        <is>
          <t>K Line 2</t>
        </is>
      </c>
      <c r="C71" s="110" t="inlineStr">
        <is>
          <t>Net Rental Real Estate Income (Form 8825)</t>
        </is>
      </c>
      <c r="D71" s="245">
        <f>'Client Books'!D59-('Client Books'!C130+'Client Books'!C131+'Client Books'!C132+'Client Books'!C133+'Client Books'!C134+'Client Books'!C135+'Client Books'!C136)</f>
        <v/>
      </c>
      <c r="E71" s="246" t="inlineStr">
        <is>
          <t>AJE-05</t>
        </is>
      </c>
      <c r="F71" s="247" t="n"/>
      <c r="G71" s="247" t="n">
        <v>0</v>
      </c>
      <c r="H71" s="248">
        <f>D71+IF(F71,F71,0)-IF(G71,G71,0)</f>
        <v/>
      </c>
      <c r="I71" s="249" t="n"/>
      <c r="J71" s="250" t="inlineStr">
        <is>
          <t>[Enter adjustment notes here]</t>
        </is>
      </c>
    </row>
    <row r="72" ht="19.5" customHeight="1" s="104">
      <c r="A72" s="109" t="n">
        <v>39</v>
      </c>
      <c r="B72" s="110" t="inlineStr">
        <is>
          <t>K Line 3c</t>
        </is>
      </c>
      <c r="C72" s="110" t="inlineStr">
        <is>
          <t>Net Other Rental Income (Equipment)</t>
        </is>
      </c>
      <c r="D72" s="245">
        <f>'Client Books'!D60</f>
        <v/>
      </c>
      <c r="E72" s="251" t="n"/>
      <c r="F72" s="247" t="n">
        <v>0</v>
      </c>
      <c r="G72" s="247" t="n">
        <v>0</v>
      </c>
      <c r="H72" s="248">
        <f>D72+IF(F72,F72,0)-IF(G72,G72,0)</f>
        <v/>
      </c>
      <c r="I72" s="249" t="n"/>
      <c r="J72" s="250" t="inlineStr">
        <is>
          <t>[Enter adjustment notes here]</t>
        </is>
      </c>
    </row>
    <row r="73" ht="19.5" customHeight="1" s="104">
      <c r="A73" s="109" t="n">
        <v>40</v>
      </c>
      <c r="B73" s="110" t="inlineStr">
        <is>
          <t>K Lines 4a-4c</t>
        </is>
      </c>
      <c r="C73" s="110" t="inlineStr">
        <is>
          <t>Guaranteed Payments (total)</t>
        </is>
      </c>
      <c r="D73" s="248">
        <f>D38</f>
        <v/>
      </c>
      <c r="E73" s="251" t="n"/>
      <c r="F73" s="248" t="n"/>
      <c r="G73" s="248" t="n"/>
      <c r="H73" s="248">
        <f>H38</f>
        <v/>
      </c>
      <c r="I73" s="249" t="n"/>
      <c r="J73" s="250" t="inlineStr">
        <is>
          <t>[Enter adjustment notes here]</t>
        </is>
      </c>
    </row>
    <row r="74" ht="45" customHeight="1" s="104">
      <c r="A74" s="109" t="n">
        <v>41</v>
      </c>
      <c r="B74" s="110" t="inlineStr">
        <is>
          <t>K Line 5</t>
        </is>
      </c>
      <c r="C74" s="110" t="inlineStr">
        <is>
          <t>Interest Income (portfolio)</t>
        </is>
      </c>
      <c r="D74" s="245">
        <f>'Client Books'!D61+'Client Books'!D63</f>
        <v/>
      </c>
      <c r="E74" s="251" t="n"/>
      <c r="F74" s="247" t="n">
        <v>0</v>
      </c>
      <c r="G74" s="247" t="n">
        <v>0</v>
      </c>
      <c r="H74" s="248">
        <f>D74+IF(F74,F74,0)-IF(G74,G74,0)</f>
        <v/>
      </c>
      <c r="I74" s="249" t="n"/>
      <c r="J74" s="250" t="inlineStr">
        <is>
          <t>[Enter adjustment notes here]</t>
        </is>
      </c>
    </row>
    <row r="75" ht="19.5" customHeight="1" s="104">
      <c r="A75" s="109" t="n">
        <v>42</v>
      </c>
      <c r="B75" s="110" t="inlineStr">
        <is>
          <t>K Lines 6a-6b</t>
        </is>
      </c>
      <c r="C75" s="110" t="inlineStr">
        <is>
          <t>Dividends (ordinary $13.7K / qualified $8.2K)</t>
        </is>
      </c>
      <c r="D75" s="245">
        <f>'Client Books'!D64+'Client Books'!D65</f>
        <v/>
      </c>
      <c r="E75" s="251" t="n"/>
      <c r="F75" s="247" t="n">
        <v>0</v>
      </c>
      <c r="G75" s="247" t="n">
        <v>0</v>
      </c>
      <c r="H75" s="248">
        <f>D75+IF(F75,F75,0)-IF(G75,G75,0)</f>
        <v/>
      </c>
      <c r="I75" s="249" t="n"/>
      <c r="J75" s="250" t="inlineStr">
        <is>
          <t>[Enter adjustment notes here]</t>
        </is>
      </c>
    </row>
    <row r="76" ht="19.5" customHeight="1" s="104">
      <c r="A76" s="109" t="n">
        <v>43</v>
      </c>
      <c r="B76" s="110" t="inlineStr">
        <is>
          <t>K Line 7</t>
        </is>
      </c>
      <c r="C76" s="110" t="inlineStr">
        <is>
          <t>Royalties</t>
        </is>
      </c>
      <c r="D76" s="245">
        <f>'Client Books'!D66</f>
        <v/>
      </c>
      <c r="E76" s="251" t="n"/>
      <c r="F76" s="247" t="n">
        <v>0</v>
      </c>
      <c r="G76" s="247" t="n">
        <v>0</v>
      </c>
      <c r="H76" s="248">
        <f>D76+IF(F76,F76,0)-IF(G76,G76,0)</f>
        <v/>
      </c>
      <c r="I76" s="249" t="n"/>
      <c r="J76" s="250" t="inlineStr">
        <is>
          <t>[Enter adjustment notes here]</t>
        </is>
      </c>
    </row>
    <row r="77" ht="19.5" customHeight="1" s="104">
      <c r="A77" s="109" t="n">
        <v>44</v>
      </c>
      <c r="B77" s="110" t="inlineStr">
        <is>
          <t>K Line 8</t>
        </is>
      </c>
      <c r="C77" s="110" t="inlineStr">
        <is>
          <t>Net Short-Term Capital Gain</t>
        </is>
      </c>
      <c r="D77" s="245">
        <f>'Client Books'!D68</f>
        <v/>
      </c>
      <c r="E77" s="251" t="n"/>
      <c r="F77" s="247" t="n">
        <v>0</v>
      </c>
      <c r="G77" s="247" t="n">
        <v>0</v>
      </c>
      <c r="H77" s="248">
        <f>D77+IF(F77,F77,0)-IF(G77,G77,0)</f>
        <v/>
      </c>
      <c r="I77" s="249" t="n"/>
      <c r="J77" s="250" t="inlineStr">
        <is>
          <t>[Enter adjustment notes here]</t>
        </is>
      </c>
    </row>
    <row r="78" ht="19.5" customHeight="1" s="104">
      <c r="A78" s="109" t="n">
        <v>45</v>
      </c>
      <c r="B78" s="110" t="inlineStr">
        <is>
          <t>K Line 9a</t>
        </is>
      </c>
      <c r="C78" s="110" t="inlineStr">
        <is>
          <t>Net Long-Term Capital Gain</t>
        </is>
      </c>
      <c r="D78" s="245">
        <f>'Client Books'!D69+'Client Books'!D72</f>
        <v/>
      </c>
      <c r="E78" s="251" t="n"/>
      <c r="F78" s="247" t="n">
        <v>0</v>
      </c>
      <c r="G78" s="247" t="n">
        <v>0</v>
      </c>
      <c r="H78" s="248">
        <f>D78+IF(F78,F78,0)-IF(G78,G78,0)</f>
        <v/>
      </c>
      <c r="I78" s="249" t="n"/>
      <c r="J78" s="250" t="inlineStr">
        <is>
          <t>[Enter adjustment notes here]</t>
        </is>
      </c>
    </row>
    <row r="79" ht="19.5" customHeight="1" s="104">
      <c r="A79" s="109" t="n">
        <v>46</v>
      </c>
      <c r="B79" s="110" t="inlineStr">
        <is>
          <t>K Line 9b</t>
        </is>
      </c>
      <c r="C79" s="110" t="inlineStr">
        <is>
          <t>Collectibles (28%) Gain</t>
        </is>
      </c>
      <c r="D79" s="245">
        <f>'Client Books'!D70</f>
        <v/>
      </c>
      <c r="E79" s="251" t="n"/>
      <c r="F79" s="247" t="n">
        <v>0</v>
      </c>
      <c r="G79" s="247" t="n">
        <v>0</v>
      </c>
      <c r="H79" s="248">
        <f>D79+IF(F79,F79,0)-IF(G79,G79,0)</f>
        <v/>
      </c>
      <c r="I79" s="249" t="n"/>
      <c r="J79" s="250" t="inlineStr">
        <is>
          <t>[Enter adjustment notes here]</t>
        </is>
      </c>
    </row>
    <row r="80" ht="45" customHeight="1" s="104">
      <c r="A80" s="109" t="n">
        <v>47</v>
      </c>
      <c r="B80" s="110" t="inlineStr">
        <is>
          <t>K Line 10</t>
        </is>
      </c>
      <c r="C80" s="110" t="inlineStr">
        <is>
          <t>Net Sec 1231 Gain (Loss)</t>
        </is>
      </c>
      <c r="D80" s="245">
        <f>'Client Books'!D67</f>
        <v/>
      </c>
      <c r="E80" s="246" t="inlineStr">
        <is>
          <t>AJE-03</t>
        </is>
      </c>
      <c r="F80" s="247" t="n">
        <v>0</v>
      </c>
      <c r="G80" s="247" t="n"/>
      <c r="H80" s="248">
        <f>D80+IF(F80,F80,0)-IF(G80,G80,0)</f>
        <v/>
      </c>
      <c r="I80" s="249" t="n"/>
      <c r="J80" s="250" t="inlineStr">
        <is>
          <t>[Enter adjustment notes here]</t>
        </is>
      </c>
    </row>
    <row r="81" ht="19.5" customHeight="1" s="104">
      <c r="A81" s="109" t="n">
        <v>48</v>
      </c>
      <c r="B81" s="110" t="inlineStr">
        <is>
          <t>K Line 11</t>
        </is>
      </c>
      <c r="C81" s="110" t="inlineStr">
        <is>
          <t>Other Income (Loss)</t>
        </is>
      </c>
      <c r="D81" s="248" t="n">
        <v>0</v>
      </c>
      <c r="E81" s="251" t="n"/>
      <c r="F81" s="247" t="n">
        <v>0</v>
      </c>
      <c r="G81" s="247" t="n">
        <v>0</v>
      </c>
      <c r="H81" s="248">
        <f>D81+IF(F81,F81,0)-IF(G81,G81,0)</f>
        <v/>
      </c>
      <c r="I81" s="249" t="n"/>
      <c r="J81" s="256" t="inlineStr">
        <is>
          <t>Catch-all.</t>
        </is>
      </c>
    </row>
    <row r="82" ht="19.5" customHeight="1" s="104">
      <c r="A82" s="259" t="n"/>
      <c r="B82" s="260" t="n"/>
      <c r="C82" s="234" t="inlineStr">
        <is>
          <t>SCHEDULE K INCOME TOTAL (Lines 1-11) = must match M-1 Line 9</t>
        </is>
      </c>
      <c r="D82" s="261">
        <f>D70+D71+D72+D73+D74+D75+D76+D77+D78+D79+D80+D81</f>
        <v/>
      </c>
      <c r="E82" s="262" t="n"/>
      <c r="F82" s="263" t="n"/>
      <c r="G82" s="263" t="n"/>
      <c r="H82" s="261">
        <f>H70+H71+H72+H73+H74+H75+H76+H77+H78+H79+H80+H81</f>
        <v/>
      </c>
      <c r="I82" s="264" t="n"/>
      <c r="J82" s="265" t="inlineStr">
        <is>
          <t>CRITICAL TIE-OUT.</t>
        </is>
      </c>
    </row>
    <row r="83">
      <c r="D83" s="251" t="n"/>
      <c r="E83" s="251" t="n"/>
      <c r="F83" s="251" t="n"/>
      <c r="G83" s="251" t="n"/>
      <c r="H83" s="251" t="n"/>
      <c r="I83" s="251" t="n"/>
      <c r="J83" s="251" t="n"/>
    </row>
    <row r="84" ht="19.5" customHeight="1" s="104">
      <c r="A84" s="109" t="n">
        <v>49</v>
      </c>
      <c r="B84" s="110" t="inlineStr">
        <is>
          <t>K Line 12</t>
        </is>
      </c>
      <c r="C84" s="110" t="inlineStr">
        <is>
          <t>Sec 179 Deduction</t>
        </is>
      </c>
      <c r="D84" s="248" t="n">
        <v>0</v>
      </c>
      <c r="E84" s="246" t="inlineStr">
        <is>
          <t>AJE-02</t>
        </is>
      </c>
      <c r="F84" s="247" t="n"/>
      <c r="G84" s="247" t="n">
        <v>0</v>
      </c>
      <c r="H84" s="248">
        <f>D84+IF(F84,F84,0)-IF(G84,G84,0)</f>
        <v/>
      </c>
      <c r="I84" s="249" t="inlineStr">
        <is>
          <t>M-1 Line 7</t>
        </is>
      </c>
      <c r="J84" s="250" t="inlineStr">
        <is>
          <t>[Enter adjustment notes here]</t>
        </is>
      </c>
    </row>
    <row r="85" ht="19.5" customHeight="1" s="104">
      <c r="A85" s="109" t="n">
        <v>50</v>
      </c>
      <c r="B85" s="110" t="inlineStr">
        <is>
          <t>K Line 13a</t>
        </is>
      </c>
      <c r="C85" s="110" t="inlineStr">
        <is>
          <t>Charitable Contributions</t>
        </is>
      </c>
      <c r="D85" s="245">
        <f>'Client Books'!C115</f>
        <v/>
      </c>
      <c r="E85" s="251" t="n"/>
      <c r="F85" s="248" t="n"/>
      <c r="G85" s="248" t="n"/>
      <c r="H85" s="248">
        <f>'Client Books'!C115</f>
        <v/>
      </c>
      <c r="I85" s="249" t="n"/>
      <c r="J85" s="250" t="inlineStr">
        <is>
          <t>[Enter adjustment notes here]</t>
        </is>
      </c>
    </row>
    <row r="86" ht="19.5" customHeight="1" s="104">
      <c r="A86" s="109" t="n">
        <v>51</v>
      </c>
      <c r="B86" s="110" t="inlineStr">
        <is>
          <t>K Line 13b</t>
        </is>
      </c>
      <c r="C86" s="110" t="inlineStr">
        <is>
          <t>Investment Interest Expense</t>
        </is>
      </c>
      <c r="D86" s="245">
        <f>'Client Books'!C120</f>
        <v/>
      </c>
      <c r="E86" s="251" t="n"/>
      <c r="F86" s="248" t="n"/>
      <c r="G86" s="248" t="n"/>
      <c r="H86" s="248">
        <f>'Client Books'!C120</f>
        <v/>
      </c>
      <c r="I86" s="249" t="n"/>
      <c r="J86" s="250" t="inlineStr">
        <is>
          <t>[Enter adjustment notes here]</t>
        </is>
      </c>
    </row>
    <row r="87" ht="19.5" customHeight="1" s="104">
      <c r="A87" s="109" t="n">
        <v>52</v>
      </c>
      <c r="B87" s="110" t="inlineStr">
        <is>
          <t>K Line 14a</t>
        </is>
      </c>
      <c r="C87" s="110" t="inlineStr">
        <is>
          <t>Net Earnings from Self-Employment</t>
        </is>
      </c>
      <c r="D87" s="248" t="n"/>
      <c r="E87" s="251" t="n"/>
      <c r="F87" s="248" t="n"/>
      <c r="G87" s="248" t="n"/>
      <c r="H87" s="248">
        <f>H70+H73</f>
        <v/>
      </c>
      <c r="I87" s="249" t="n"/>
      <c r="J87" s="256" t="inlineStr">
        <is>
          <t>Ordinary + GP for services. General partners.</t>
        </is>
      </c>
    </row>
    <row r="88" ht="19.5" customHeight="1" s="104">
      <c r="A88" s="109" t="n">
        <v>53</v>
      </c>
      <c r="B88" s="110" t="inlineStr">
        <is>
          <t>K Line 18a</t>
        </is>
      </c>
      <c r="C88" s="110" t="inlineStr">
        <is>
          <t>Tax-Exempt Interest Income</t>
        </is>
      </c>
      <c r="D88" s="245">
        <f>'Client Books'!D62</f>
        <v/>
      </c>
      <c r="E88" s="246" t="inlineStr">
        <is>
          <t>AJE-21</t>
        </is>
      </c>
      <c r="F88" s="247" t="n">
        <v>0</v>
      </c>
      <c r="G88" s="247" t="n">
        <v>0</v>
      </c>
      <c r="H88" s="248">
        <f>D88+IF(F88,F88,0)-IF(G88,G88,0)</f>
        <v/>
      </c>
      <c r="I88" s="249" t="inlineStr">
        <is>
          <t>M-1 Line 6</t>
        </is>
      </c>
      <c r="J88" s="250" t="inlineStr">
        <is>
          <t>[Enter adjustment notes here]</t>
        </is>
      </c>
    </row>
    <row r="89" ht="45" customHeight="1" s="104">
      <c r="A89" s="109" t="n">
        <v>54</v>
      </c>
      <c r="B89" s="110" t="inlineStr">
        <is>
          <t>K Line 18c</t>
        </is>
      </c>
      <c r="C89" s="110" t="inlineStr">
        <is>
          <t>Nondeductible Expenses (total)</t>
        </is>
      </c>
      <c r="D89" s="248">
        <f>G51+G52+G53+G54+G55+G56+G57</f>
        <v/>
      </c>
      <c r="E89" s="251" t="n"/>
      <c r="F89" s="248" t="n"/>
      <c r="G89" s="248" t="n"/>
      <c r="H89" s="248">
        <f>G51+G52+G53+G54+G55+G56+G57</f>
        <v/>
      </c>
      <c r="I89" s="249" t="inlineStr">
        <is>
          <t>M-1 Line 4</t>
        </is>
      </c>
      <c r="J89" s="256" t="inlineStr">
        <is>
          <t>Sum of all nondeductible Adj(-) amounts. Decreases partner basis.</t>
        </is>
      </c>
    </row>
    <row r="90" ht="19.5" customHeight="1" s="104">
      <c r="A90" s="109" t="n">
        <v>55</v>
      </c>
      <c r="B90" s="110" t="inlineStr">
        <is>
          <t>K Line 19a</t>
        </is>
      </c>
      <c r="C90" s="110" t="inlineStr">
        <is>
          <t>Distributions - Cash</t>
        </is>
      </c>
      <c r="D90" s="245">
        <f>'Client Books'!C52+'Client Books'!C53</f>
        <v/>
      </c>
      <c r="E90" s="251" t="n"/>
      <c r="F90" s="247" t="n">
        <v>0</v>
      </c>
      <c r="G90" s="247" t="n">
        <v>0</v>
      </c>
      <c r="H90" s="248">
        <f>D90+IF(F90,F90,0)-IF(G90,G90,0)</f>
        <v/>
      </c>
      <c r="I90" s="249" t="n"/>
      <c r="J90" s="250" t="inlineStr">
        <is>
          <t>[Enter adjustment notes here]</t>
        </is>
      </c>
    </row>
    <row r="91" ht="19.5" customHeight="1" s="104">
      <c r="A91" s="109" t="n">
        <v>56</v>
      </c>
      <c r="B91" s="110" t="inlineStr">
        <is>
          <t>K Line 20</t>
        </is>
      </c>
      <c r="C91" s="110" t="inlineStr">
        <is>
          <t>Other Information (Sec 199A, etc.)</t>
        </is>
      </c>
      <c r="D91" s="248" t="n"/>
      <c r="E91" s="251" t="n"/>
      <c r="F91" s="248" t="n"/>
      <c r="G91" s="248" t="n"/>
      <c r="H91" s="248" t="n">
        <v>0</v>
      </c>
      <c r="I91" s="249" t="n"/>
      <c r="J91" s="256" t="inlineStr">
        <is>
          <t>Sec 199A QBI, W-2 wages, UBIA. Enter codes in UltraTax.</t>
        </is>
      </c>
    </row>
    <row r="92">
      <c r="D92" s="251" t="n"/>
      <c r="E92" s="251" t="n"/>
      <c r="F92" s="251" t="n"/>
      <c r="G92" s="251" t="n"/>
      <c r="H92" s="251" t="n"/>
      <c r="I92" s="251" t="n"/>
      <c r="J92" s="251" t="n"/>
    </row>
    <row r="93" ht="21.75" customHeight="1" s="104">
      <c r="A93" s="243" t="inlineStr">
        <is>
          <t>SCHEDULE M-1 — BOOK TO TAX RECONCILIATION</t>
        </is>
      </c>
      <c r="B93" s="235" t="n"/>
      <c r="C93" s="235" t="n"/>
      <c r="D93" s="244" t="n"/>
      <c r="E93" s="244" t="n"/>
      <c r="F93" s="244" t="n"/>
      <c r="G93" s="244" t="n"/>
      <c r="H93" s="244" t="n"/>
      <c r="I93" s="244" t="n"/>
      <c r="J93" s="244" t="n"/>
    </row>
    <row r="94" ht="19.5" customHeight="1" s="104">
      <c r="A94" s="109" t="n">
        <v>57</v>
      </c>
      <c r="B94" s="110" t="inlineStr">
        <is>
          <t>M-1 Line 1</t>
        </is>
      </c>
      <c r="C94" s="110" t="inlineStr">
        <is>
          <t>Net Income (Loss) Per Books</t>
        </is>
      </c>
      <c r="D94" s="245">
        <f>'Client Books'!D57+'Client Books'!D59+'Client Books'!D60+'Client Books'!D61+'Client Books'!D62+'Client Books'!D63+'Client Books'!D64+'Client Books'!D65+'Client Books'!D66+'Client Books'!D67+'Client Books'!D68+'Client Books'!D69+'Client Books'!D70+'Client Books'!D71+'Client Books'!D72+'Client Books'!D73+'Client Books'!D74-'Client Books'!C58-('Client Books'!C76+'Client Books'!C77+'Client Books'!C78+'Client Books'!C79+'Client Books'!C80+'Client Books'!C81-'Client Books'!D82)-('Client Books'!C84+'Client Books'!C85+'Client Books'!C86+'Client Books'!C87+'Client Books'!C88+'Client Books'!C89+'Client Books'!C90+'Client Books'!C91+'Client Books'!C92+'Client Books'!C93+'Client Books'!C94+'Client Books'!C95+'Client Books'!C96+'Client Books'!C97+'Client Books'!C98+'Client Books'!C99+'Client Books'!C100+'Client Books'!C101+'Client Books'!C102+'Client Books'!C103+'Client Books'!C104+'Client Books'!C105+'Client Books'!C106+'Client Books'!C107+'Client Books'!C108+'Client Books'!C109+'Client Books'!C110+'Client Books'!C111+'Client Books'!C112+'Client Books'!C113+'Client Books'!C114+'Client Books'!C115+'Client Books'!C116+'Client Books'!C117+'Client Books'!C118+'Client Books'!C119+'Client Books'!C120+'Client Books'!C121+'Client Books'!C122+'Client Books'!C123+'Client Books'!C124+'Client Books'!C125+'Client Books'!C126+'Client Books'!C127+'Client Books'!C128)-('Client Books'!C130+'Client Books'!C131+'Client Books'!C132+'Client Books'!C133+'Client Books'!C134+'Client Books'!C135+'Client Books'!C136)</f>
        <v/>
      </c>
      <c r="E94" s="251" t="n"/>
      <c r="F94" s="248" t="n"/>
      <c r="G94" s="248" t="n"/>
      <c r="H94" s="248">
        <f>'Client Books'!D57+'Client Books'!D59+'Client Books'!D60+'Client Books'!D61+'Client Books'!D62+'Client Books'!D63+'Client Books'!D64+'Client Books'!D65+'Client Books'!D66+'Client Books'!D67+'Client Books'!D68+'Client Books'!D69+'Client Books'!D70+'Client Books'!D71+'Client Books'!D72+'Client Books'!D73+'Client Books'!D74-'Client Books'!C58-('Client Books'!C76+'Client Books'!C77+'Client Books'!C78+'Client Books'!C79+'Client Books'!C80+'Client Books'!C81-'Client Books'!D82)-('Client Books'!C84+'Client Books'!C85+'Client Books'!C86+'Client Books'!C87+'Client Books'!C88+'Client Books'!C89+'Client Books'!C90+'Client Books'!C91+'Client Books'!C92+'Client Books'!C93+'Client Books'!C94+'Client Books'!C95+'Client Books'!C96+'Client Books'!C97+'Client Books'!C98+'Client Books'!C99+'Client Books'!C100+'Client Books'!C101+'Client Books'!C102+'Client Books'!C103+'Client Books'!C104+'Client Books'!C105+'Client Books'!C106+'Client Books'!C107+'Client Books'!C108+'Client Books'!C109+'Client Books'!C110+'Client Books'!C111+'Client Books'!C112+'Client Books'!C113+'Client Books'!C114+'Client Books'!C115+'Client Books'!C116+'Client Books'!C117+'Client Books'!C118+'Client Books'!C119+'Client Books'!C120+'Client Books'!C121+'Client Books'!C122+'Client Books'!C123+'Client Books'!C124+'Client Books'!C125+'Client Books'!C126+'Client Books'!C127+'Client Books'!C128)-('Client Books'!C130+'Client Books'!C131+'Client Books'!C132+'Client Books'!C133+'Client Books'!C134+'Client Books'!C135+'Client Books'!C136)</f>
        <v/>
      </c>
      <c r="I94" s="249" t="n"/>
      <c r="J94" s="256" t="inlineStr">
        <is>
          <t>STARTING POINT. Must tie to Client Books P&amp;L bottom line.</t>
        </is>
      </c>
    </row>
    <row r="95" ht="45" customHeight="1" s="104">
      <c r="A95" s="109" t="n">
        <v>58</v>
      </c>
      <c r="B95" s="110" t="inlineStr">
        <is>
          <t>M-1 Line 2</t>
        </is>
      </c>
      <c r="C95" s="110" t="inlineStr">
        <is>
          <t>Income on Sch K not recorded on books</t>
        </is>
      </c>
      <c r="D95" s="248" t="n">
        <v>0</v>
      </c>
      <c r="E95" s="251" t="n"/>
      <c r="F95" s="248" t="n"/>
      <c r="G95" s="248" t="n"/>
      <c r="H95" s="247" t="n"/>
      <c r="I95" s="249" t="inlineStr">
        <is>
          <t>Sec 1245 recapture</t>
        </is>
      </c>
      <c r="J95" s="250" t="inlineStr">
        <is>
          <t>[Enter adjustment notes here]</t>
        </is>
      </c>
    </row>
    <row r="96" ht="19.5" customHeight="1" s="104">
      <c r="A96" s="109" t="n">
        <v>59</v>
      </c>
      <c r="B96" s="110" t="inlineStr">
        <is>
          <t>M-1 Line 3</t>
        </is>
      </c>
      <c r="C96" s="110" t="inlineStr">
        <is>
          <t>Guaranteed Payments (K Line 4c)</t>
        </is>
      </c>
      <c r="D96" s="248">
        <f>H73</f>
        <v/>
      </c>
      <c r="E96" s="251" t="n"/>
      <c r="F96" s="248" t="n"/>
      <c r="G96" s="248" t="n"/>
      <c r="H96" s="248">
        <f>H73</f>
        <v/>
      </c>
      <c r="I96" s="249" t="n"/>
      <c r="J96" s="256" t="inlineStr">
        <is>
          <t>Auto-tied from K Line 4c.</t>
        </is>
      </c>
    </row>
    <row r="97" ht="45" customHeight="1" s="104">
      <c r="A97" s="109" t="n">
        <v>62</v>
      </c>
      <c r="B97" s="110" t="inlineStr">
        <is>
          <t>M-1 Line 6</t>
        </is>
      </c>
      <c r="C97" s="110" t="inlineStr">
        <is>
          <t>Income on books NOT on Sch K</t>
        </is>
      </c>
      <c r="D97" s="247" t="n"/>
      <c r="E97" s="251" t="n"/>
      <c r="F97" s="248" t="n"/>
      <c r="G97" s="248" t="n"/>
      <c r="H97" s="247" t="n"/>
      <c r="I97" s="249" t="n"/>
      <c r="J97" s="250" t="inlineStr">
        <is>
          <t>[Enter adjustment notes here]</t>
        </is>
      </c>
    </row>
    <row r="98" ht="45" customHeight="1" s="104">
      <c r="A98" s="109" t="n">
        <v>63</v>
      </c>
      <c r="B98" s="110" t="inlineStr">
        <is>
          <t>M-1 Line 7</t>
        </is>
      </c>
      <c r="C98" s="110" t="inlineStr">
        <is>
          <t>Deductions on return NOT on books</t>
        </is>
      </c>
      <c r="D98" s="247" t="n"/>
      <c r="E98" s="251" t="n"/>
      <c r="F98" s="248" t="n"/>
      <c r="G98" s="248" t="n"/>
      <c r="H98" s="247" t="n"/>
      <c r="I98" s="249" t="n"/>
      <c r="J98" s="250" t="inlineStr">
        <is>
          <t>[Enter adjustment notes here]</t>
        </is>
      </c>
    </row>
    <row r="99" ht="45" customHeight="1" s="104">
      <c r="A99" s="109" t="n">
        <v>60</v>
      </c>
      <c r="B99" s="110" t="inlineStr">
        <is>
          <t>M-1 Line 4</t>
        </is>
      </c>
      <c r="C99" s="110" t="inlineStr">
        <is>
          <t>Expenses on books NOT deducted on return (AUTO-BALANCED)</t>
        </is>
      </c>
      <c r="D99" s="266">
        <f>D82-D94-D95-D96+D97+D98</f>
        <v/>
      </c>
      <c r="E99" s="251" t="n"/>
      <c r="F99" s="248" t="n"/>
      <c r="G99" s="248" t="n"/>
      <c r="H99" s="266">
        <f>H82-H94-H95-H96+H97+H98</f>
        <v/>
      </c>
      <c r="I99" s="249" t="inlineStr">
        <is>
          <t>Self-balancing</t>
        </is>
      </c>
      <c r="J99" s="256" t="inlineStr">
        <is>
          <t>AUTO-BALANCED FORMULA: backs into amount so M-1 Line 9 = K Total. Components: Sec 263A, Sec 267, bad debt reserve, 50% meals, entertainment, club dues, penalties, political, life ins, state tax, warranty/litigation reserves, partner health ins, cap improvement, amort diffs, charitable &amp; inv interest. If wrong, check Lines 2, 6, 7.</t>
        </is>
      </c>
    </row>
    <row r="100" ht="19.5" customHeight="1" s="104">
      <c r="A100" s="131" t="n">
        <v>61</v>
      </c>
      <c r="B100" s="132" t="inlineStr">
        <is>
          <t>M-1 Line 5</t>
        </is>
      </c>
      <c r="C100" s="133" t="inlineStr">
        <is>
          <t>Total (Lines 1-4)</t>
        </is>
      </c>
      <c r="D100" s="257">
        <f>D94+D95+D96+D99</f>
        <v/>
      </c>
      <c r="E100" s="251" t="n"/>
      <c r="F100" s="248" t="n"/>
      <c r="G100" s="248" t="n"/>
      <c r="H100" s="257">
        <f>H94+H95+H96+H99</f>
        <v/>
      </c>
      <c r="I100" s="249" t="n"/>
      <c r="J100" s="256" t="inlineStr">
        <is>
          <t>Calculated.</t>
        </is>
      </c>
    </row>
    <row r="101" ht="19.5" customHeight="1" s="104">
      <c r="A101" s="131" t="n">
        <v>64</v>
      </c>
      <c r="B101" s="132" t="inlineStr">
        <is>
          <t>M-1 Line 8</t>
        </is>
      </c>
      <c r="C101" s="133" t="inlineStr">
        <is>
          <t>Total (Lines 6 + 7)</t>
        </is>
      </c>
      <c r="D101" s="257">
        <f>D97+D98</f>
        <v/>
      </c>
      <c r="E101" s="251" t="n"/>
      <c r="F101" s="248" t="n"/>
      <c r="G101" s="248" t="n"/>
      <c r="H101" s="257">
        <f>H97+H98</f>
        <v/>
      </c>
      <c r="I101" s="249" t="n"/>
      <c r="J101" s="256" t="inlineStr">
        <is>
          <t>Calculated.</t>
        </is>
      </c>
    </row>
    <row r="102" ht="19.5" customHeight="1" s="104">
      <c r="A102" s="131" t="n">
        <v>65</v>
      </c>
      <c r="B102" s="132" t="inlineStr">
        <is>
          <t>M-1 Line 9</t>
        </is>
      </c>
      <c r="C102" s="133" t="inlineStr">
        <is>
          <t>INCOME PER RETURN (Line 5 - Line 8) = K Lines 1-11</t>
        </is>
      </c>
      <c r="D102" s="257">
        <f>D100-D101</f>
        <v/>
      </c>
      <c r="E102" s="251" t="n"/>
      <c r="F102" s="248" t="n"/>
      <c r="G102" s="248" t="n"/>
      <c r="H102" s="257">
        <f>H100-H101</f>
        <v/>
      </c>
      <c r="I102" s="249" t="n"/>
      <c r="J102" s="256" t="inlineStr">
        <is>
          <t>MUST EQUAL K Lines 1-11 total.</t>
        </is>
      </c>
    </row>
    <row r="103" ht="19.5" customHeight="1" s="104">
      <c r="A103" s="252" t="n"/>
      <c r="B103" s="110" t="inlineStr">
        <is>
          <t>CHECK</t>
        </is>
      </c>
      <c r="C103" s="110" t="inlineStr">
        <is>
          <t>M-1 Line 9 vs K Total (should be ZERO)</t>
        </is>
      </c>
      <c r="D103" s="253" t="n"/>
      <c r="E103" s="253" t="n"/>
      <c r="F103" s="253" t="n"/>
      <c r="G103" s="253" t="n"/>
      <c r="H103" s="253">
        <f>H102-H82</f>
        <v/>
      </c>
      <c r="I103" s="253" t="n"/>
      <c r="J103" s="253" t="inlineStr">
        <is>
          <t>ZERO = BALANCED. If not, check M-1 Lines 2, 6, 7.</t>
        </is>
      </c>
    </row>
    <row r="104">
      <c r="D104" s="251" t="n"/>
      <c r="E104" s="251" t="n"/>
      <c r="F104" s="251" t="n"/>
      <c r="G104" s="251" t="n"/>
      <c r="H104" s="251" t="n"/>
      <c r="I104" s="251" t="n"/>
      <c r="J104" s="251" t="n"/>
    </row>
    <row r="105" ht="21.75" customHeight="1" s="104">
      <c r="A105" s="243" t="inlineStr">
        <is>
          <t>SCHEDULE M-2 — PARTNERS' CAPITAL ACCOUNTS</t>
        </is>
      </c>
      <c r="B105" s="235" t="n"/>
      <c r="C105" s="235" t="n"/>
      <c r="D105" s="244" t="n"/>
      <c r="E105" s="244" t="n"/>
      <c r="F105" s="244" t="n"/>
      <c r="G105" s="244" t="n"/>
      <c r="H105" s="244" t="n"/>
      <c r="I105" s="244" t="n"/>
      <c r="J105" s="244" t="n"/>
    </row>
    <row r="106" ht="45" customHeight="1" s="104">
      <c r="A106" s="113" t="n">
        <v>66</v>
      </c>
      <c r="B106" s="135" t="inlineStr">
        <is>
          <t>M-2 Line 1</t>
        </is>
      </c>
      <c r="C106" s="135" t="inlineStr">
        <is>
          <t>Balance at Beginning of Year</t>
        </is>
      </c>
      <c r="D106" s="254">
        <f>D18</f>
        <v/>
      </c>
      <c r="E106" s="251" t="n"/>
      <c r="F106" s="247" t="n">
        <v>0</v>
      </c>
      <c r="G106" s="247" t="n">
        <v>0</v>
      </c>
      <c r="H106" s="254">
        <f>D106+IF(F106,F106,0)-IF(G106,G106,0)</f>
        <v/>
      </c>
      <c r="I106" s="249" t="n"/>
      <c r="J106" s="255" t="inlineStr">
        <is>
          <t>[Enter adjustment notes here]</t>
        </is>
      </c>
    </row>
    <row r="107" ht="19.5" customHeight="1" s="104">
      <c r="A107" s="109" t="n">
        <v>67</v>
      </c>
      <c r="B107" s="110" t="inlineStr">
        <is>
          <t>M-2 Line 2</t>
        </is>
      </c>
      <c r="C107" s="110" t="inlineStr">
        <is>
          <t>Capital Contributed During Year</t>
        </is>
      </c>
      <c r="D107" s="245">
        <f>'Client Books'!D54+'Client Books'!D55</f>
        <v/>
      </c>
      <c r="E107" s="251" t="n"/>
      <c r="F107" s="247" t="n">
        <v>0</v>
      </c>
      <c r="G107" s="247" t="n">
        <v>0</v>
      </c>
      <c r="H107" s="248">
        <f>D107+IF(F107,F107,0)-IF(G107,G107,0)</f>
        <v/>
      </c>
      <c r="I107" s="249" t="n"/>
      <c r="J107" s="250" t="inlineStr">
        <is>
          <t>[Enter adjustment notes here]</t>
        </is>
      </c>
    </row>
    <row r="108" ht="45" customHeight="1" s="104">
      <c r="A108" s="109" t="n">
        <v>68</v>
      </c>
      <c r="B108" s="110" t="inlineStr">
        <is>
          <t>M-2 Line 3</t>
        </is>
      </c>
      <c r="C108" s="110" t="inlineStr">
        <is>
          <t>Net Income / Income Per Return</t>
        </is>
      </c>
      <c r="D108" s="248">
        <f>D94</f>
        <v/>
      </c>
      <c r="E108" s="251" t="n"/>
      <c r="F108" s="248" t="n"/>
      <c r="G108" s="248" t="n"/>
      <c r="H108" s="248">
        <f>H102</f>
        <v/>
      </c>
      <c r="I108" s="249" t="n"/>
      <c r="J108" s="256" t="inlineStr">
        <is>
          <t>Book col = M-1 Line 1 (book NI). Tax col = M-1 Line 9 (income per return). Use tax col for tax-basis L.</t>
        </is>
      </c>
    </row>
    <row r="109" ht="45" customHeight="1" s="104">
      <c r="A109" s="109" t="n">
        <v>69</v>
      </c>
      <c r="B109" s="110" t="inlineStr">
        <is>
          <t>M-2 Line 4</t>
        </is>
      </c>
      <c r="C109" s="110" t="inlineStr">
        <is>
          <t>Other Increases (tax-exempt income, etc.)</t>
        </is>
      </c>
      <c r="D109" s="248" t="n">
        <v>0</v>
      </c>
      <c r="E109" s="251" t="n"/>
      <c r="F109" s="248" t="n"/>
      <c r="G109" s="248" t="n"/>
      <c r="H109" s="266">
        <f>H88</f>
        <v/>
      </c>
      <c r="I109" s="249" t="n"/>
      <c r="J109" s="256" t="inlineStr">
        <is>
          <t>Auto-tied to K Line 18a (tax-exempt interest). Add other items manually if applicable.</t>
        </is>
      </c>
    </row>
    <row r="110" ht="19.5" customHeight="1" s="104">
      <c r="A110" s="131" t="n">
        <v>70</v>
      </c>
      <c r="B110" s="132" t="inlineStr">
        <is>
          <t>M-2 Line 5</t>
        </is>
      </c>
      <c r="C110" s="133" t="inlineStr">
        <is>
          <t>Total (Lines 1-4)</t>
        </is>
      </c>
      <c r="D110" s="257">
        <f>D106+D107+D108+D109</f>
        <v/>
      </c>
      <c r="E110" s="251" t="n"/>
      <c r="F110" s="248" t="n"/>
      <c r="G110" s="248" t="n"/>
      <c r="H110" s="257">
        <f>H106+H107+H108+H109</f>
        <v/>
      </c>
      <c r="I110" s="249" t="n"/>
      <c r="J110" s="256" t="inlineStr">
        <is>
          <t>Calculated.</t>
        </is>
      </c>
    </row>
    <row r="111" ht="19.5" customHeight="1" s="104">
      <c r="A111" s="109" t="n">
        <v>71</v>
      </c>
      <c r="B111" s="110" t="inlineStr">
        <is>
          <t>M-2 Line 6</t>
        </is>
      </c>
      <c r="C111" s="110" t="inlineStr">
        <is>
          <t>Distributions (Cash and Property)</t>
        </is>
      </c>
      <c r="D111" s="245">
        <f>'Client Books'!C52+'Client Books'!C53</f>
        <v/>
      </c>
      <c r="E111" s="251" t="n"/>
      <c r="F111" s="247" t="n">
        <v>0</v>
      </c>
      <c r="G111" s="247" t="n">
        <v>0</v>
      </c>
      <c r="H111" s="248">
        <f>D111+IF(F111,F111,0)-IF(G111,G111,0)</f>
        <v/>
      </c>
      <c r="I111" s="249" t="n"/>
      <c r="J111" s="250" t="inlineStr">
        <is>
          <t>[Enter adjustment notes here]</t>
        </is>
      </c>
    </row>
    <row r="112" ht="45" customHeight="1" s="104">
      <c r="A112" s="109" t="n">
        <v>72</v>
      </c>
      <c r="B112" s="110" t="inlineStr">
        <is>
          <t>M-2 Line 7</t>
        </is>
      </c>
      <c r="C112" s="110" t="inlineStr">
        <is>
          <t>Other Decreases (nondeductible expenses)</t>
        </is>
      </c>
      <c r="D112" s="248" t="n">
        <v>0</v>
      </c>
      <c r="E112" s="251" t="n"/>
      <c r="F112" s="248" t="n"/>
      <c r="G112" s="248" t="n"/>
      <c r="H112" s="266">
        <f>H89</f>
        <v/>
      </c>
      <c r="I112" s="249" t="n"/>
      <c r="J112" s="256" t="inlineStr">
        <is>
          <t>Auto-tied to K Line 18c nondeductible expenses. Decreases capital.</t>
        </is>
      </c>
    </row>
    <row r="113" ht="19.5" customHeight="1" s="104">
      <c r="A113" s="131" t="n">
        <v>73</v>
      </c>
      <c r="B113" s="132" t="inlineStr">
        <is>
          <t>M-2 Line 8</t>
        </is>
      </c>
      <c r="C113" s="133" t="inlineStr">
        <is>
          <t>Total (Lines 6 + 7)</t>
        </is>
      </c>
      <c r="D113" s="257">
        <f>D111+D112</f>
        <v/>
      </c>
      <c r="E113" s="251" t="n"/>
      <c r="F113" s="248" t="n"/>
      <c r="G113" s="248" t="n"/>
      <c r="H113" s="257">
        <f>H111+H112</f>
        <v/>
      </c>
      <c r="I113" s="249" t="n"/>
      <c r="J113" s="256" t="inlineStr">
        <is>
          <t>Calculated.</t>
        </is>
      </c>
    </row>
    <row r="114" ht="19.5" customHeight="1" s="104">
      <c r="A114" s="131" t="n">
        <v>74</v>
      </c>
      <c r="B114" s="132" t="inlineStr">
        <is>
          <t>M-2 Line 9</t>
        </is>
      </c>
      <c r="C114" s="133" t="inlineStr">
        <is>
          <t>BALANCE AT END OF YEAR (Line 5 - Line 8)</t>
        </is>
      </c>
      <c r="D114" s="257">
        <f>D110-D113</f>
        <v/>
      </c>
      <c r="E114" s="251" t="n"/>
      <c r="F114" s="248" t="n"/>
      <c r="G114" s="248" t="n"/>
      <c r="H114" s="257">
        <f>H110-H113</f>
        <v/>
      </c>
      <c r="I114" s="249" t="n"/>
      <c r="J114" s="256" t="inlineStr">
        <is>
          <t>MUST = L Line 22 and sum of K-1 capital accounts.</t>
        </is>
      </c>
    </row>
    <row r="115">
      <c r="D115" s="251" t="n"/>
      <c r="E115" s="251" t="n"/>
      <c r="F115" s="251" t="n"/>
      <c r="G115" s="251" t="n"/>
      <c r="H115" s="251" t="n"/>
      <c r="I115" s="251" t="n"/>
      <c r="J115" s="251" t="n"/>
    </row>
    <row r="116" ht="21.75" customHeight="1" s="104">
      <c r="A116" s="243" t="inlineStr">
        <is>
          <t>SCHEDULE L — BALANCE SHEET TIE-OUTS</t>
        </is>
      </c>
      <c r="B116" s="235" t="n"/>
      <c r="C116" s="235" t="n"/>
      <c r="D116" s="244" t="n"/>
      <c r="E116" s="244" t="n"/>
      <c r="F116" s="244" t="n"/>
      <c r="G116" s="244" t="n"/>
      <c r="H116" s="244" t="n"/>
      <c r="I116" s="244" t="n"/>
      <c r="J116" s="244" t="n"/>
    </row>
    <row r="117" ht="45" customHeight="1" s="104">
      <c r="A117" s="131" t="n">
        <v>75</v>
      </c>
      <c r="B117" s="132" t="inlineStr">
        <is>
          <t>L Line 22</t>
        </is>
      </c>
      <c r="C117" s="133" t="inlineStr">
        <is>
          <t>Partners' Capital (= M-2 Line 9)</t>
        </is>
      </c>
      <c r="D117" s="257">
        <f>D114</f>
        <v/>
      </c>
      <c r="E117" s="251" t="n"/>
      <c r="F117" s="248" t="n"/>
      <c r="G117" s="248" t="n"/>
      <c r="H117" s="257">
        <f>H114</f>
        <v/>
      </c>
      <c r="I117" s="249" t="n"/>
      <c r="J117" s="256" t="inlineStr">
        <is>
          <t>TIED TO M-2 Line 9. If assets-liabilities does not match, investigate BS basis differences.</t>
        </is>
      </c>
    </row>
    <row r="118" ht="45" customHeight="1" s="104">
      <c r="A118" s="259" t="n"/>
      <c r="B118" s="267" t="inlineStr">
        <is>
          <t>CHECK</t>
        </is>
      </c>
      <c r="C118" s="234" t="inlineStr">
        <is>
          <t>Schedule L Proof: Assets - Liabilities vs M-2 Capital (should be ZERO)</t>
        </is>
      </c>
      <c r="D118" s="268">
        <f>(D12-D15)-D114</f>
        <v/>
      </c>
      <c r="E118" s="262" t="n"/>
      <c r="F118" s="263" t="n"/>
      <c r="G118" s="263" t="n"/>
      <c r="H118" s="268">
        <f>(H12-H15)-H114</f>
        <v/>
      </c>
      <c r="I118" s="264" t="n"/>
      <c r="J118" s="265" t="inlineStr">
        <is>
          <t>BOOK col should = 0. TAX col: any difference = cumulative book-tax basis diff in PY capital. Resolves when correct PY tax-basis capital is entered in M-2 Line 1.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03" min="1" max="1"/>
    <col width="14" customWidth="1" style="103" min="2" max="2"/>
    <col width="14" customWidth="1" style="103" min="3" max="3"/>
    <col width="14" customWidth="1" style="103" min="4" max="6"/>
    <col width="14" customWidth="1" style="104" min="5" max="5"/>
    <col width="14" customWidth="1" style="104" min="6" max="6"/>
    <col width="14" customWidth="1" style="103" min="7" max="7"/>
    <col width="14" customWidth="1" style="103" min="8" max="8"/>
  </cols>
  <sheetData>
    <row r="1" ht="17.25" customHeight="1" s="104">
      <c r="A1" s="269" t="inlineStr">
        <is>
          <t>SCHEDULE K — DETAILED WORKPAPER</t>
        </is>
      </c>
      <c r="B1" s="270" t="n"/>
      <c r="C1" s="270" t="n"/>
      <c r="D1" s="270" t="n"/>
      <c r="E1" s="270" t="n"/>
      <c r="F1" s="270" t="n"/>
      <c r="G1" s="270" t="n"/>
      <c r="H1" s="270" t="n"/>
    </row>
    <row r="2" ht="15" customHeight="1" s="104">
      <c r="A2" s="271" t="inlineStr">
        <is>
          <t>[ENTITY NAME]  |  EIN: [XX-XXXXXXX]  |  Tax Year Ended: [MM/DD/YYYY]</t>
        </is>
      </c>
    </row>
    <row r="3"/>
    <row r="4" ht="30" customHeight="1" s="104">
      <c r="A4" s="272" t="inlineStr">
        <is>
          <t>#</t>
        </is>
      </c>
      <c r="B4" s="273" t="inlineStr">
        <is>
          <t>K Line</t>
        </is>
      </c>
      <c r="C4" s="273" t="inlineStr">
        <is>
          <t>Description</t>
        </is>
      </c>
      <c r="D4" s="273" t="inlineStr">
        <is>
          <t>Book Amount</t>
        </is>
      </c>
      <c r="E4" s="273" t="inlineStr">
        <is>
          <t>Tax Amount</t>
        </is>
      </c>
      <c r="F4" s="273" t="inlineStr">
        <is>
          <t>Adjustment</t>
        </is>
      </c>
      <c r="G4" s="273" t="inlineStr">
        <is>
          <t>IRC / Authority</t>
        </is>
      </c>
      <c r="H4" s="273" t="inlineStr">
        <is>
          <t>Source / WTB Ref</t>
        </is>
      </c>
    </row>
    <row r="5" ht="21.75" customHeight="1" s="104">
      <c r="A5" s="234" t="inlineStr">
        <is>
          <t>INCOME (K Lines 1-11)</t>
        </is>
      </c>
      <c r="B5" s="235" t="n"/>
      <c r="C5" s="235" t="n"/>
      <c r="D5" s="235" t="n"/>
      <c r="E5" s="235" t="n"/>
      <c r="F5" s="235" t="n"/>
      <c r="G5" s="235" t="n"/>
      <c r="H5" s="235" t="n"/>
    </row>
    <row r="6" ht="31.5" customHeight="1" s="104">
      <c r="A6" s="109" t="n">
        <v>1</v>
      </c>
      <c r="B6" s="248" t="inlineStr">
        <is>
          <t>K Line 1</t>
        </is>
      </c>
      <c r="C6" s="248" t="inlineStr">
        <is>
          <t>Ordinary Business Income (Loss)</t>
        </is>
      </c>
      <c r="D6" s="245">
        <f>'Working Trial Balance'!D70</f>
        <v/>
      </c>
      <c r="E6" s="245">
        <f>'Working Trial Balance'!H70</f>
        <v/>
      </c>
      <c r="F6" s="248">
        <f>E6-D6</f>
        <v/>
      </c>
      <c r="G6" s="248" t="inlineStr">
        <is>
          <t>Sec 702(a)(8)</t>
        </is>
      </c>
      <c r="H6" s="256" t="inlineStr">
        <is>
          <t>WTB Row 70 = P1 Line 22. QBI starting point (Sec 199A).</t>
        </is>
      </c>
    </row>
    <row r="7" ht="31.5" customHeight="1" s="104">
      <c r="A7" s="109" t="n">
        <v>2</v>
      </c>
      <c r="B7" s="248" t="inlineStr">
        <is>
          <t>K Line 2</t>
        </is>
      </c>
      <c r="C7" s="248" t="inlineStr">
        <is>
          <t>Net Rental RE Income (Form 8825)</t>
        </is>
      </c>
      <c r="D7" s="245">
        <f>'Working Trial Balance'!D71</f>
        <v/>
      </c>
      <c r="E7" s="245">
        <f>'Working Trial Balance'!H71</f>
        <v/>
      </c>
      <c r="F7" s="248">
        <f>E7-D7</f>
        <v/>
      </c>
      <c r="G7" s="248" t="inlineStr">
        <is>
          <t>Sec 469 / Sec 168</t>
        </is>
      </c>
      <c r="H7" s="256" t="inlineStr">
        <is>
          <t>WTB Row 71. Income $96K - exp $63K = $33K book. Tax +$4.5K (rental MACRS &gt; book depr). Passive activity.</t>
        </is>
      </c>
    </row>
    <row r="8" ht="31.5" customHeight="1" s="104">
      <c r="A8" s="109" t="n">
        <v>3</v>
      </c>
      <c r="B8" s="248" t="inlineStr">
        <is>
          <t>K Line 3c</t>
        </is>
      </c>
      <c r="C8" s="248" t="inlineStr">
        <is>
          <t>Net Other Rental Income (Equipment)</t>
        </is>
      </c>
      <c r="D8" s="245">
        <f>'Working Trial Balance'!D72</f>
        <v/>
      </c>
      <c r="E8" s="245">
        <f>'Working Trial Balance'!H72</f>
        <v/>
      </c>
      <c r="F8" s="248">
        <f>E8-D8</f>
        <v/>
      </c>
      <c r="G8" s="248" t="inlineStr">
        <is>
          <t>Sec 469</t>
        </is>
      </c>
      <c r="H8" s="256" t="inlineStr">
        <is>
          <t>WTB Row 72. Equipment rental $36K. Passive activity for all partners.</t>
        </is>
      </c>
    </row>
    <row r="9" ht="31.5" customHeight="1" s="104">
      <c r="A9" s="109" t="n">
        <v>4</v>
      </c>
      <c r="B9" s="248" t="inlineStr">
        <is>
          <t>K Lines 4a-4c</t>
        </is>
      </c>
      <c r="C9" s="248" t="inlineStr">
        <is>
          <t>Guaranteed Payments (total)</t>
        </is>
      </c>
      <c r="D9" s="245">
        <f>'Working Trial Balance'!D73</f>
        <v/>
      </c>
      <c r="E9" s="245">
        <f>'Working Trial Balance'!H73</f>
        <v/>
      </c>
      <c r="F9" s="248">
        <f>E9-D9</f>
        <v/>
      </c>
      <c r="G9" s="248" t="inlineStr">
        <is>
          <t>Sec 707(c)</t>
        </is>
      </c>
      <c r="H9" s="256" t="inlineStr">
        <is>
          <t>WTB Row 73. Services 4a: $180K (A $90K + B $90K). Capital 4b: $12K. Total 4c: $192K.</t>
        </is>
      </c>
    </row>
    <row r="10" ht="31.5" customHeight="1" s="104">
      <c r="A10" s="109" t="n">
        <v>5</v>
      </c>
      <c r="B10" s="248" t="inlineStr">
        <is>
          <t>K Line 5</t>
        </is>
      </c>
      <c r="C10" s="248" t="inlineStr">
        <is>
          <t>Interest Income (portfolio)</t>
        </is>
      </c>
      <c r="D10" s="245">
        <f>'Working Trial Balance'!D74</f>
        <v/>
      </c>
      <c r="E10" s="245">
        <f>'Working Trial Balance'!H74</f>
        <v/>
      </c>
      <c r="F10" s="248">
        <f>E10-D10</f>
        <v/>
      </c>
      <c r="G10" s="248" t="inlineStr">
        <is>
          <t>Sec 702(a)(4)</t>
        </is>
      </c>
      <c r="H10" s="256" t="inlineStr">
        <is>
          <t>WTB Row 74. Bank $4.2K + corp bond $2.6K = $6.8K. Muni $3.8K excluded (K 18a).</t>
        </is>
      </c>
    </row>
    <row r="11" ht="31.5" customHeight="1" s="104">
      <c r="A11" s="109" t="n">
        <v>6</v>
      </c>
      <c r="B11" s="248" t="inlineStr">
        <is>
          <t>K Lines 6a-6b</t>
        </is>
      </c>
      <c r="C11" s="248" t="inlineStr">
        <is>
          <t>Dividends (ordinary + qualified)</t>
        </is>
      </c>
      <c r="D11" s="245">
        <f>'Working Trial Balance'!D75</f>
        <v/>
      </c>
      <c r="E11" s="245">
        <f>'Working Trial Balance'!H75</f>
        <v/>
      </c>
      <c r="F11" s="248">
        <f>E11-D11</f>
        <v/>
      </c>
      <c r="G11" s="248" t="inlineStr">
        <is>
          <t>Sec 702(a)(5)</t>
        </is>
      </c>
      <c r="H11" s="256" t="inlineStr">
        <is>
          <t>WTB Row 75. Ordinary 6a: $5.5K + Qualified 6b: $8.2K = $13.7K total.</t>
        </is>
      </c>
    </row>
    <row r="12" ht="19.5" customHeight="1" s="104">
      <c r="A12" s="109" t="n">
        <v>7</v>
      </c>
      <c r="B12" s="248" t="inlineStr">
        <is>
          <t>K Line 7</t>
        </is>
      </c>
      <c r="C12" s="248" t="inlineStr">
        <is>
          <t>Royalties</t>
        </is>
      </c>
      <c r="D12" s="245">
        <f>'Working Trial Balance'!D76</f>
        <v/>
      </c>
      <c r="E12" s="245">
        <f>'Working Trial Balance'!H76</f>
        <v/>
      </c>
      <c r="F12" s="248">
        <f>E12-D12</f>
        <v/>
      </c>
      <c r="G12" s="248" t="inlineStr">
        <is>
          <t>Sec 702(a)(3)</t>
        </is>
      </c>
      <c r="H12" s="256" t="inlineStr">
        <is>
          <t>WTB Row 76. $12K.</t>
        </is>
      </c>
    </row>
    <row r="13" ht="19.5" customHeight="1" s="104">
      <c r="A13" s="109" t="n">
        <v>8</v>
      </c>
      <c r="B13" s="248" t="inlineStr">
        <is>
          <t>K Line 8</t>
        </is>
      </c>
      <c r="C13" s="248" t="inlineStr">
        <is>
          <t>Net Short-Term Capital Gain</t>
        </is>
      </c>
      <c r="D13" s="245">
        <f>'Working Trial Balance'!D77</f>
        <v/>
      </c>
      <c r="E13" s="245">
        <f>'Working Trial Balance'!H77</f>
        <v/>
      </c>
      <c r="F13" s="248">
        <f>E13-D13</f>
        <v/>
      </c>
      <c r="G13" s="248" t="inlineStr">
        <is>
          <t>Sec 702(a)(1)</t>
        </is>
      </c>
      <c r="H13" s="256" t="inlineStr">
        <is>
          <t>WTB Row 77. Stock sale $6.5K (held &lt;1 yr).</t>
        </is>
      </c>
    </row>
    <row r="14" ht="31.5" customHeight="1" s="104">
      <c r="A14" s="109" t="n">
        <v>9</v>
      </c>
      <c r="B14" s="248" t="inlineStr">
        <is>
          <t>K Line 9a</t>
        </is>
      </c>
      <c r="C14" s="248" t="inlineStr">
        <is>
          <t>Net Long-Term Capital Gain</t>
        </is>
      </c>
      <c r="D14" s="245">
        <f>'Working Trial Balance'!D78</f>
        <v/>
      </c>
      <c r="E14" s="245">
        <f>'Working Trial Balance'!H78</f>
        <v/>
      </c>
      <c r="F14" s="248">
        <f>E14-D14</f>
        <v/>
      </c>
      <c r="G14" s="248" t="inlineStr">
        <is>
          <t>Sec 702(a)(2)</t>
        </is>
      </c>
      <c r="H14" s="256" t="inlineStr">
        <is>
          <t>WTB Row 78. Stocks $18.5K + sub-partnership K-1 $4K = $22.5K.</t>
        </is>
      </c>
    </row>
    <row r="15" ht="31.5" customHeight="1" s="104">
      <c r="A15" s="109" t="n">
        <v>10</v>
      </c>
      <c r="B15" s="248" t="inlineStr">
        <is>
          <t>K Line 9b</t>
        </is>
      </c>
      <c r="C15" s="248" t="inlineStr">
        <is>
          <t>Collectibles (28%) Gain</t>
        </is>
      </c>
      <c r="D15" s="245">
        <f>'Working Trial Balance'!D79</f>
        <v/>
      </c>
      <c r="E15" s="245">
        <f>'Working Trial Balance'!H79</f>
        <v/>
      </c>
      <c r="F15" s="248">
        <f>E15-D15</f>
        <v/>
      </c>
      <c r="G15" s="248" t="inlineStr">
        <is>
          <t>Sec 1(h)(5)</t>
        </is>
      </c>
      <c r="H15" s="256" t="inlineStr">
        <is>
          <t>WTB Row 79. Art sale $7.5K. 28% rate per Sec 1(h)(5).</t>
        </is>
      </c>
    </row>
    <row r="16" ht="31.5" customHeight="1" s="104">
      <c r="A16" s="109" t="n">
        <v>11</v>
      </c>
      <c r="B16" s="248" t="inlineStr">
        <is>
          <t>K Line 10</t>
        </is>
      </c>
      <c r="C16" s="248" t="inlineStr">
        <is>
          <t>Net Sec 1231 Gain (Loss)</t>
        </is>
      </c>
      <c r="D16" s="245">
        <f>'Working Trial Balance'!D80</f>
        <v/>
      </c>
      <c r="E16" s="245">
        <f>'Working Trial Balance'!H80</f>
        <v/>
      </c>
      <c r="F16" s="248">
        <f>E16-D16</f>
        <v/>
      </c>
      <c r="G16" s="248" t="inlineStr">
        <is>
          <t>Sec 1231 / 1245</t>
        </is>
      </c>
      <c r="H16" s="256" t="inlineStr">
        <is>
          <t>WTB Row 80. Book $28K, less $12K Sec 1245 recapture to P1 L6 = $16K net 1231.</t>
        </is>
      </c>
    </row>
    <row r="17" ht="19.5" customHeight="1" s="104">
      <c r="A17" s="109" t="n">
        <v>12</v>
      </c>
      <c r="B17" s="248" t="inlineStr">
        <is>
          <t>K Line 11</t>
        </is>
      </c>
      <c r="C17" s="248" t="inlineStr">
        <is>
          <t>Other Income (Loss)</t>
        </is>
      </c>
      <c r="D17" s="245">
        <f>'Working Trial Balance'!D81</f>
        <v/>
      </c>
      <c r="E17" s="245">
        <f>'Working Trial Balance'!H81</f>
        <v/>
      </c>
      <c r="F17" s="248">
        <f>E17-D17</f>
        <v/>
      </c>
      <c r="G17" s="248" t="inlineStr">
        <is>
          <t>Sec 702(a)(7)</t>
        </is>
      </c>
      <c r="H17" s="256" t="inlineStr">
        <is>
          <t>WTB Row 81. None for this entity.</t>
        </is>
      </c>
    </row>
    <row r="18" ht="19.5" customHeight="1" s="104">
      <c r="A18" s="131" t="n"/>
      <c r="B18" s="132" t="n"/>
      <c r="C18" s="257" t="inlineStr">
        <is>
          <t>K INCOME TOTAL (Lines 1-11)</t>
        </is>
      </c>
      <c r="D18" s="257">
        <f>SUM(D6:D17)</f>
        <v/>
      </c>
      <c r="E18" s="257">
        <f>SUM(E6:E17)</f>
        <v/>
      </c>
      <c r="F18" s="257">
        <f>E18-D18</f>
        <v/>
      </c>
      <c r="G18" s="110" t="n"/>
      <c r="H18" s="256" t="inlineStr">
        <is>
          <t>WTB Row 82. Must = M-1 Line 9.</t>
        </is>
      </c>
    </row>
    <row r="19" ht="21.75" customHeight="1" s="104">
      <c r="A19" s="234" t="inlineStr">
        <is>
          <t>SEPARATELY STATED DEDUCTIONS &amp; OTHER ITEMS (K Lines 12-20)</t>
        </is>
      </c>
      <c r="B19" s="235" t="n"/>
      <c r="C19" s="235" t="n"/>
      <c r="D19" s="235" t="n"/>
      <c r="E19" s="235" t="n"/>
      <c r="F19" s="235" t="n"/>
      <c r="G19" s="235" t="n"/>
      <c r="H19" s="235" t="n"/>
    </row>
    <row r="20" ht="31.5" customHeight="1" s="104">
      <c r="A20" s="109" t="n">
        <v>13</v>
      </c>
      <c r="B20" s="248" t="inlineStr">
        <is>
          <t>K Line 12</t>
        </is>
      </c>
      <c r="C20" s="248" t="inlineStr">
        <is>
          <t>Sec 179 Deduction</t>
        </is>
      </c>
      <c r="D20" s="245">
        <f>'Working Trial Balance'!D84</f>
        <v/>
      </c>
      <c r="E20" s="245">
        <f>'Working Trial Balance'!H84</f>
        <v/>
      </c>
      <c r="F20" s="248">
        <f>E20-D20</f>
        <v/>
      </c>
      <c r="G20" s="248" t="inlineStr">
        <is>
          <t>Sec 179</t>
        </is>
      </c>
      <c r="H20" s="256" t="inlineStr">
        <is>
          <t>WTB Row 84. $35K on capitalized improvement. Each partner applies own limit.</t>
        </is>
      </c>
    </row>
    <row r="21" ht="31.5" customHeight="1" s="104">
      <c r="A21" s="109" t="n">
        <v>14</v>
      </c>
      <c r="B21" s="248" t="inlineStr">
        <is>
          <t>K Line 13a</t>
        </is>
      </c>
      <c r="C21" s="248" t="inlineStr">
        <is>
          <t>Charitable Contributions</t>
        </is>
      </c>
      <c r="D21" s="245">
        <f>'Working Trial Balance'!D85</f>
        <v/>
      </c>
      <c r="E21" s="245">
        <f>'Working Trial Balance'!H85</f>
        <v/>
      </c>
      <c r="F21" s="248">
        <f>E21-D21</f>
        <v/>
      </c>
      <c r="G21" s="248" t="inlineStr">
        <is>
          <t>Sec 170 / 702(a)(4)</t>
        </is>
      </c>
      <c r="H21" s="256" t="inlineStr">
        <is>
          <t>WTB Row 85. $25K. Separately stated; partner applies AGI limits.</t>
        </is>
      </c>
    </row>
    <row r="22" ht="31.5" customHeight="1" s="104">
      <c r="A22" s="109" t="n">
        <v>15</v>
      </c>
      <c r="B22" s="248" t="inlineStr">
        <is>
          <t>K Line 13b</t>
        </is>
      </c>
      <c r="C22" s="248" t="inlineStr">
        <is>
          <t>Investment Interest Expense</t>
        </is>
      </c>
      <c r="D22" s="245">
        <f>'Working Trial Balance'!D86</f>
        <v/>
      </c>
      <c r="E22" s="245">
        <f>'Working Trial Balance'!H86</f>
        <v/>
      </c>
      <c r="F22" s="248">
        <f>E22-D22</f>
        <v/>
      </c>
      <c r="G22" s="248" t="inlineStr">
        <is>
          <t>Sec 163(d)</t>
        </is>
      </c>
      <c r="H22" s="256" t="inlineStr">
        <is>
          <t>WTB Row 86. Margin acct interest $3.5K. Partner applies Sec 163(d) limit.</t>
        </is>
      </c>
    </row>
    <row r="23" ht="31.5" customHeight="1" s="104">
      <c r="A23" s="109" t="n">
        <v>16</v>
      </c>
      <c r="B23" s="248" t="inlineStr">
        <is>
          <t>K Line 14a</t>
        </is>
      </c>
      <c r="C23" s="248" t="inlineStr">
        <is>
          <t>Net Earnings from Self-Employment</t>
        </is>
      </c>
      <c r="D23" s="127" t="n"/>
      <c r="E23" s="245">
        <f>'Working Trial Balance'!H87</f>
        <v/>
      </c>
      <c r="F23" s="127" t="n"/>
      <c r="G23" s="248" t="inlineStr">
        <is>
          <t>Sec 1402</t>
        </is>
      </c>
      <c r="H23" s="256" t="inlineStr">
        <is>
          <t>WTB Row 87. = OBI + GP for services. General partners only. Not a separately stated item per se.</t>
        </is>
      </c>
    </row>
    <row r="24" ht="31.5" customHeight="1" s="104">
      <c r="A24" s="109" t="n">
        <v>17</v>
      </c>
      <c r="B24" s="248" t="inlineStr">
        <is>
          <t>K Line 18a</t>
        </is>
      </c>
      <c r="C24" s="248" t="inlineStr">
        <is>
          <t>Tax-Exempt Interest Income</t>
        </is>
      </c>
      <c r="D24" s="245">
        <f>'Working Trial Balance'!D88</f>
        <v/>
      </c>
      <c r="E24" s="245">
        <f>'Working Trial Balance'!H88</f>
        <v/>
      </c>
      <c r="F24" s="248">
        <f>E24-D24</f>
        <v/>
      </c>
      <c r="G24" s="248" t="inlineStr">
        <is>
          <t>Sec 103</t>
        </is>
      </c>
      <c r="H24" s="256" t="inlineStr">
        <is>
          <t>WTB Row 88. Muni bond $3.8K. Increases outside basis, not taxable. Flows to M-2 Line 4.</t>
        </is>
      </c>
    </row>
    <row r="25" ht="31.5" customHeight="1" s="104">
      <c r="A25" s="109" t="n">
        <v>18</v>
      </c>
      <c r="B25" s="248" t="inlineStr">
        <is>
          <t>K Line 18c</t>
        </is>
      </c>
      <c r="C25" s="248" t="inlineStr">
        <is>
          <t>Nondeductible Expenses (total)</t>
        </is>
      </c>
      <c r="D25" s="245">
        <f>'Working Trial Balance'!D89</f>
        <v/>
      </c>
      <c r="E25" s="245">
        <f>'Working Trial Balance'!H89</f>
        <v/>
      </c>
      <c r="F25" s="248">
        <f>E25-D25</f>
        <v/>
      </c>
      <c r="G25" s="248" t="inlineStr">
        <is>
          <t>Various</t>
        </is>
      </c>
      <c r="H25" s="256" t="inlineStr">
        <is>
          <t>WTB Row 89. $58.6K total: meals 50% $16K, entertainment $8.5K, clubs $6K, penalties $4.5K, political $2K, life ins $9.6K, state tax $12K. Decreases basis. Flows to M-2 Line 7.</t>
        </is>
      </c>
    </row>
    <row r="26" ht="31.5" customHeight="1" s="104">
      <c r="A26" s="109" t="n">
        <v>19</v>
      </c>
      <c r="B26" s="248" t="inlineStr">
        <is>
          <t>K Line 19a</t>
        </is>
      </c>
      <c r="C26" s="248" t="inlineStr">
        <is>
          <t>Distributions - Cash</t>
        </is>
      </c>
      <c r="D26" s="245">
        <f>'Working Trial Balance'!D90</f>
        <v/>
      </c>
      <c r="E26" s="245">
        <f>'Working Trial Balance'!H90</f>
        <v/>
      </c>
      <c r="F26" s="248">
        <f>E26-D26</f>
        <v/>
      </c>
      <c r="G26" s="248" t="inlineStr">
        <is>
          <t>Sec 731</t>
        </is>
      </c>
      <c r="H26" s="256" t="inlineStr">
        <is>
          <t>WTB Row 90. A $110K + B $110K = $220K. Nontaxable to extent of basis. Flows to M-2 Line 6.</t>
        </is>
      </c>
    </row>
    <row r="27" ht="31.5" customHeight="1" s="104">
      <c r="A27" s="109" t="n">
        <v>20</v>
      </c>
      <c r="B27" s="248" t="inlineStr">
        <is>
          <t>K Line 20</t>
        </is>
      </c>
      <c r="C27" s="248" t="inlineStr">
        <is>
          <t>Other Information (Sec 199A QBI)</t>
        </is>
      </c>
      <c r="D27" s="127" t="n"/>
      <c r="E27" s="245">
        <f>'Working Trial Balance'!H91</f>
        <v/>
      </c>
      <c r="F27" s="127" t="n"/>
      <c r="G27" s="248" t="inlineStr">
        <is>
          <t>Sec 199A</t>
        </is>
      </c>
      <c r="H27" s="256" t="inlineStr">
        <is>
          <t>WTB Row 91. Report QBI, W-2 wages, UBIA of qualified property per partner.</t>
        </is>
      </c>
    </row>
    <row r="28"/>
    <row r="29" ht="21.75" customHeight="1" s="104">
      <c r="A29" s="274" t="inlineStr">
        <is>
          <t>K-1 ALLOCATION (50/50 — 2 General Partners)</t>
        </is>
      </c>
      <c r="B29" s="108" t="n"/>
      <c r="C29" s="108" t="n"/>
      <c r="D29" s="108" t="n"/>
      <c r="E29" s="108" t="n"/>
      <c r="F29" s="108" t="n"/>
      <c r="G29" s="108" t="n"/>
      <c r="H29" s="108" t="n"/>
    </row>
    <row r="30" ht="15" customHeight="1" s="104">
      <c r="A30" s="107" t="n"/>
      <c r="B30" s="273" t="inlineStr">
        <is>
          <t>K-1 Line</t>
        </is>
      </c>
      <c r="C30" s="273" t="inlineStr">
        <is>
          <t>Description</t>
        </is>
      </c>
      <c r="D30" s="273" t="inlineStr">
        <is>
          <t>K Total</t>
        </is>
      </c>
      <c r="E30" s="273" t="inlineStr">
        <is>
          <t>Partner A (50%)</t>
        </is>
      </c>
      <c r="F30" s="273" t="inlineStr">
        <is>
          <t>Partner B (50%)</t>
        </is>
      </c>
      <c r="G30" s="107" t="n"/>
      <c r="H30" s="273" t="inlineStr">
        <is>
          <t>Source</t>
        </is>
      </c>
    </row>
    <row r="31" ht="18" customHeight="1" s="104">
      <c r="A31" s="109" t="n"/>
      <c r="B31" s="248" t="inlineStr">
        <is>
          <t>K-1 Line 1</t>
        </is>
      </c>
      <c r="C31" s="248" t="inlineStr">
        <is>
          <t>Ordinary Business Income</t>
        </is>
      </c>
      <c r="D31" s="245">
        <f>'Working Trial Balance'!H70</f>
        <v/>
      </c>
      <c r="E31" s="248">
        <f>D31*0.5</f>
        <v/>
      </c>
      <c r="F31" s="248">
        <f>D31*0.5</f>
        <v/>
      </c>
      <c r="G31" s="110" t="n"/>
      <c r="H31" s="256" t="inlineStr">
        <is>
          <t>WTB R70</t>
        </is>
      </c>
    </row>
    <row r="32" ht="18" customHeight="1" s="104">
      <c r="A32" s="109" t="n"/>
      <c r="B32" s="248" t="inlineStr">
        <is>
          <t>K-1 Line 2</t>
        </is>
      </c>
      <c r="C32" s="248" t="inlineStr">
        <is>
          <t>Net Rental RE Income</t>
        </is>
      </c>
      <c r="D32" s="245">
        <f>'Working Trial Balance'!H71</f>
        <v/>
      </c>
      <c r="E32" s="248">
        <f>D32*0.5</f>
        <v/>
      </c>
      <c r="F32" s="248">
        <f>D32*0.5</f>
        <v/>
      </c>
      <c r="G32" s="110" t="n"/>
      <c r="H32" s="256" t="inlineStr">
        <is>
          <t>WTB R71</t>
        </is>
      </c>
    </row>
    <row r="33" ht="18" customHeight="1" s="104">
      <c r="A33" s="109" t="n"/>
      <c r="B33" s="248" t="inlineStr">
        <is>
          <t>K-1 Line 3</t>
        </is>
      </c>
      <c r="C33" s="248" t="inlineStr">
        <is>
          <t>Other Rental Income</t>
        </is>
      </c>
      <c r="D33" s="245">
        <f>'Working Trial Balance'!H72</f>
        <v/>
      </c>
      <c r="E33" s="248">
        <f>D33*0.5</f>
        <v/>
      </c>
      <c r="F33" s="248">
        <f>D33*0.5</f>
        <v/>
      </c>
      <c r="G33" s="110" t="n"/>
      <c r="H33" s="256" t="inlineStr">
        <is>
          <t>WTB R72</t>
        </is>
      </c>
    </row>
    <row r="34" ht="18" customHeight="1" s="104">
      <c r="A34" s="109" t="n"/>
      <c r="B34" s="248" t="inlineStr">
        <is>
          <t>K-1 Line 4a</t>
        </is>
      </c>
      <c r="C34" s="248" t="inlineStr">
        <is>
          <t>GP for Services</t>
        </is>
      </c>
      <c r="D34" s="245">
        <f>'Working Trial Balance'!H73</f>
        <v/>
      </c>
      <c r="E34" s="248">
        <f>D34*0.5</f>
        <v/>
      </c>
      <c r="F34" s="248">
        <f>D34*0.5</f>
        <v/>
      </c>
      <c r="G34" s="110" t="n"/>
      <c r="H34" s="256" t="inlineStr">
        <is>
          <t>WTB R73</t>
        </is>
      </c>
    </row>
    <row r="35" ht="18" customHeight="1" s="104">
      <c r="A35" s="109" t="n"/>
      <c r="B35" s="248" t="inlineStr">
        <is>
          <t>K-1 Line 5</t>
        </is>
      </c>
      <c r="C35" s="248" t="inlineStr">
        <is>
          <t>Interest Income</t>
        </is>
      </c>
      <c r="D35" s="245">
        <f>'Working Trial Balance'!H74</f>
        <v/>
      </c>
      <c r="E35" s="248">
        <f>D35*0.5</f>
        <v/>
      </c>
      <c r="F35" s="248">
        <f>D35*0.5</f>
        <v/>
      </c>
      <c r="G35" s="110" t="n"/>
      <c r="H35" s="256" t="inlineStr">
        <is>
          <t>WTB R74</t>
        </is>
      </c>
    </row>
    <row r="36" ht="18" customHeight="1" s="104">
      <c r="A36" s="109" t="n"/>
      <c r="B36" s="248" t="inlineStr">
        <is>
          <t>K-1 Line 6a</t>
        </is>
      </c>
      <c r="C36" s="248" t="inlineStr">
        <is>
          <t>Ordinary Dividends</t>
        </is>
      </c>
      <c r="D36" s="245">
        <f>'Working Trial Balance'!H75</f>
        <v/>
      </c>
      <c r="E36" s="248">
        <f>D36*0.5</f>
        <v/>
      </c>
      <c r="F36" s="248">
        <f>D36*0.5</f>
        <v/>
      </c>
      <c r="G36" s="110" t="n"/>
      <c r="H36" s="256" t="inlineStr">
        <is>
          <t>WTB R75</t>
        </is>
      </c>
    </row>
    <row r="37" ht="18" customHeight="1" s="104">
      <c r="A37" s="109" t="n"/>
      <c r="B37" s="248" t="inlineStr">
        <is>
          <t>K-1 Line 7</t>
        </is>
      </c>
      <c r="C37" s="248" t="inlineStr">
        <is>
          <t>Royalties</t>
        </is>
      </c>
      <c r="D37" s="245">
        <f>'Working Trial Balance'!H76</f>
        <v/>
      </c>
      <c r="E37" s="248">
        <f>D37*0.5</f>
        <v/>
      </c>
      <c r="F37" s="248">
        <f>D37*0.5</f>
        <v/>
      </c>
      <c r="G37" s="110" t="n"/>
      <c r="H37" s="256" t="inlineStr">
        <is>
          <t>WTB R76</t>
        </is>
      </c>
    </row>
    <row r="38" ht="18" customHeight="1" s="104">
      <c r="A38" s="109" t="n"/>
      <c r="B38" s="248" t="inlineStr">
        <is>
          <t>K-1 Line 8</t>
        </is>
      </c>
      <c r="C38" s="248" t="inlineStr">
        <is>
          <t>STCG</t>
        </is>
      </c>
      <c r="D38" s="245">
        <f>'Working Trial Balance'!H77</f>
        <v/>
      </c>
      <c r="E38" s="248">
        <f>D38*0.5</f>
        <v/>
      </c>
      <c r="F38" s="248">
        <f>D38*0.5</f>
        <v/>
      </c>
      <c r="G38" s="110" t="n"/>
      <c r="H38" s="256" t="inlineStr">
        <is>
          <t>WTB R77</t>
        </is>
      </c>
    </row>
    <row r="39" ht="18" customHeight="1" s="104">
      <c r="A39" s="109" t="n"/>
      <c r="B39" s="248" t="inlineStr">
        <is>
          <t>K-1 Line 9a</t>
        </is>
      </c>
      <c r="C39" s="248" t="inlineStr">
        <is>
          <t>LTCG</t>
        </is>
      </c>
      <c r="D39" s="245">
        <f>'Working Trial Balance'!H78</f>
        <v/>
      </c>
      <c r="E39" s="248">
        <f>D39*0.5</f>
        <v/>
      </c>
      <c r="F39" s="248">
        <f>D39*0.5</f>
        <v/>
      </c>
      <c r="G39" s="110" t="n"/>
      <c r="H39" s="256" t="inlineStr">
        <is>
          <t>WTB R78</t>
        </is>
      </c>
    </row>
    <row r="40" ht="18" customHeight="1" s="104">
      <c r="A40" s="109" t="n"/>
      <c r="B40" s="248" t="inlineStr">
        <is>
          <t>K-1 Line 10</t>
        </is>
      </c>
      <c r="C40" s="248" t="inlineStr">
        <is>
          <t>Sec 1231 Gain</t>
        </is>
      </c>
      <c r="D40" s="245">
        <f>'Working Trial Balance'!H80</f>
        <v/>
      </c>
      <c r="E40" s="248">
        <f>D40*0.5</f>
        <v/>
      </c>
      <c r="F40" s="248">
        <f>D40*0.5</f>
        <v/>
      </c>
      <c r="G40" s="110" t="n"/>
      <c r="H40" s="256" t="inlineStr">
        <is>
          <t>WTB R80</t>
        </is>
      </c>
    </row>
    <row r="41" ht="18" customHeight="1" s="104">
      <c r="A41" s="109" t="n"/>
      <c r="B41" s="248" t="inlineStr">
        <is>
          <t>K-1 Line 12</t>
        </is>
      </c>
      <c r="C41" s="248" t="inlineStr">
        <is>
          <t>Sec 179</t>
        </is>
      </c>
      <c r="D41" s="245">
        <f>'Working Trial Balance'!H84</f>
        <v/>
      </c>
      <c r="E41" s="248">
        <f>D41*0.5</f>
        <v/>
      </c>
      <c r="F41" s="248">
        <f>D41*0.5</f>
        <v/>
      </c>
      <c r="G41" s="110" t="n"/>
      <c r="H41" s="256" t="inlineStr">
        <is>
          <t>WTB R84</t>
        </is>
      </c>
    </row>
    <row r="42" ht="18" customHeight="1" s="104">
      <c r="A42" s="109" t="n"/>
      <c r="B42" s="248" t="inlineStr">
        <is>
          <t>K-1 Line 13a</t>
        </is>
      </c>
      <c r="C42" s="248" t="inlineStr">
        <is>
          <t>Charitable</t>
        </is>
      </c>
      <c r="D42" s="245">
        <f>'Working Trial Balance'!H85</f>
        <v/>
      </c>
      <c r="E42" s="248">
        <f>D42*0.5</f>
        <v/>
      </c>
      <c r="F42" s="248">
        <f>D42*0.5</f>
        <v/>
      </c>
      <c r="G42" s="110" t="n"/>
      <c r="H42" s="256" t="inlineStr">
        <is>
          <t>WTB R85</t>
        </is>
      </c>
    </row>
    <row r="43" ht="18" customHeight="1" s="104">
      <c r="A43" s="109" t="n"/>
      <c r="B43" s="248" t="inlineStr">
        <is>
          <t>K-1 Line 14a</t>
        </is>
      </c>
      <c r="C43" s="248" t="inlineStr">
        <is>
          <t>SE Earnings</t>
        </is>
      </c>
      <c r="D43" s="245">
        <f>'Working Trial Balance'!H87</f>
        <v/>
      </c>
      <c r="E43" s="248">
        <f>D43*0.5</f>
        <v/>
      </c>
      <c r="F43" s="248">
        <f>D43*0.5</f>
        <v/>
      </c>
      <c r="G43" s="110" t="n"/>
      <c r="H43" s="256" t="inlineStr">
        <is>
          <t>WTB R87</t>
        </is>
      </c>
    </row>
    <row r="44" ht="18" customHeight="1" s="104">
      <c r="A44" s="109" t="n"/>
      <c r="B44" s="248" t="inlineStr">
        <is>
          <t>K-1 Line 18a</t>
        </is>
      </c>
      <c r="C44" s="248" t="inlineStr">
        <is>
          <t>Tax-Exempt</t>
        </is>
      </c>
      <c r="D44" s="245">
        <f>'Working Trial Balance'!H88</f>
        <v/>
      </c>
      <c r="E44" s="248">
        <f>D44*0.5</f>
        <v/>
      </c>
      <c r="F44" s="248">
        <f>D44*0.5</f>
        <v/>
      </c>
      <c r="G44" s="110" t="n"/>
      <c r="H44" s="256" t="inlineStr">
        <is>
          <t>WTB R88</t>
        </is>
      </c>
    </row>
    <row r="45" ht="18" customHeight="1" s="104">
      <c r="A45" s="109" t="n"/>
      <c r="B45" s="248" t="inlineStr">
        <is>
          <t>K-1 Line 18c</t>
        </is>
      </c>
      <c r="C45" s="248" t="inlineStr">
        <is>
          <t>Nondeductible</t>
        </is>
      </c>
      <c r="D45" s="245">
        <f>'Working Trial Balance'!H89</f>
        <v/>
      </c>
      <c r="E45" s="248">
        <f>D45*0.5</f>
        <v/>
      </c>
      <c r="F45" s="248">
        <f>D45*0.5</f>
        <v/>
      </c>
      <c r="G45" s="110" t="n"/>
      <c r="H45" s="256" t="inlineStr">
        <is>
          <t>WTB R89</t>
        </is>
      </c>
    </row>
    <row r="46" ht="18" customHeight="1" s="104">
      <c r="A46" s="109" t="n"/>
      <c r="B46" s="248" t="inlineStr">
        <is>
          <t>K-1 Line 19a</t>
        </is>
      </c>
      <c r="C46" s="248" t="inlineStr">
        <is>
          <t>Distributions</t>
        </is>
      </c>
      <c r="D46" s="245">
        <f>'Working Trial Balance'!H90</f>
        <v/>
      </c>
      <c r="E46" s="248">
        <f>D46*0.5</f>
        <v/>
      </c>
      <c r="F46" s="248">
        <f>D46*0.5</f>
        <v/>
      </c>
      <c r="G46" s="110" t="n"/>
      <c r="H46" s="256" t="inlineStr">
        <is>
          <t>WTB R90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03" min="1" max="1"/>
    <col width="14" customWidth="1" style="103" min="2" max="2"/>
    <col width="14" customWidth="1" style="103" min="3" max="3"/>
    <col width="14" customWidth="1" style="103" min="4" max="6"/>
    <col width="14" customWidth="1" style="104" min="5" max="5"/>
    <col width="14" customWidth="1" style="104" min="6" max="6"/>
    <col width="14" customWidth="1" style="103" min="7" max="7"/>
    <col width="14" customWidth="1" style="103" min="8" max="8"/>
    <col width="14" customWidth="1" style="103" min="9" max="9"/>
  </cols>
  <sheetData>
    <row r="1" ht="17.25" customHeight="1" s="104">
      <c r="A1" s="269" t="inlineStr">
        <is>
          <t>SCHEDULE M-1 — BOOK-TO-TAX RECONCILIATION WORKPAPER</t>
        </is>
      </c>
      <c r="B1" s="270" t="n"/>
      <c r="C1" s="270" t="n"/>
      <c r="D1" s="270" t="n"/>
      <c r="E1" s="270" t="n"/>
      <c r="F1" s="270" t="n"/>
      <c r="G1" s="270" t="n"/>
      <c r="H1" s="270" t="n"/>
      <c r="I1" s="270" t="n"/>
    </row>
    <row r="2" ht="15" customHeight="1" s="104">
      <c r="A2" s="271" t="inlineStr">
        <is>
          <t>[ENTITY NAME]  |  EIN: [XX-XXXXXXX]  |  Tax Year Ended: [MM/DD/YYYY]</t>
        </is>
      </c>
    </row>
    <row r="3"/>
    <row r="4" ht="30" customHeight="1" s="104">
      <c r="A4" s="272" t="inlineStr">
        <is>
          <t>#</t>
        </is>
      </c>
      <c r="B4" s="273" t="inlineStr">
        <is>
          <t>M-1 Line</t>
        </is>
      </c>
      <c r="C4" s="273" t="inlineStr">
        <is>
          <t>Description</t>
        </is>
      </c>
      <c r="D4" s="273" t="inlineStr">
        <is>
          <t>Book Amount</t>
        </is>
      </c>
      <c r="E4" s="273" t="inlineStr">
        <is>
          <t>Tax Amount</t>
        </is>
      </c>
      <c r="F4" s="273" t="inlineStr">
        <is>
          <t>Difference</t>
        </is>
      </c>
      <c r="G4" s="273" t="inlineStr">
        <is>
          <t>Perm / Temp</t>
        </is>
      </c>
      <c r="H4" s="273" t="inlineStr">
        <is>
          <t>IRC / Authority</t>
        </is>
      </c>
      <c r="I4" s="273" t="inlineStr">
        <is>
          <t>Detail / WTB Ref</t>
        </is>
      </c>
    </row>
    <row r="5" ht="21.75" customHeight="1" s="104">
      <c r="A5" s="274" t="inlineStr">
        <is>
          <t>M-1 RECONCILIATION — FORM LINES</t>
        </is>
      </c>
      <c r="B5" s="108" t="n"/>
      <c r="C5" s="108" t="n"/>
      <c r="D5" s="108" t="n"/>
      <c r="E5" s="108" t="n"/>
      <c r="F5" s="108" t="n"/>
      <c r="G5" s="108" t="n"/>
      <c r="H5" s="108" t="n"/>
      <c r="I5" s="108" t="n"/>
    </row>
    <row r="6" ht="37.5" customHeight="1" s="104">
      <c r="A6" s="109" t="n">
        <v>1</v>
      </c>
      <c r="B6" s="248" t="inlineStr">
        <is>
          <t>M-1 Line 1</t>
        </is>
      </c>
      <c r="C6" s="248" t="inlineStr">
        <is>
          <t>Net Income (Loss) Per Books</t>
        </is>
      </c>
      <c r="D6" s="245">
        <f>'Working Trial Balance'!D94</f>
        <v/>
      </c>
      <c r="E6" s="245">
        <f>'Working Trial Balance'!H94</f>
        <v/>
      </c>
      <c r="F6" s="248">
        <f>E6-D6</f>
        <v/>
      </c>
      <c r="G6" s="109" t="n"/>
      <c r="H6" s="110" t="n"/>
      <c r="I6" s="256" t="inlineStr">
        <is>
          <t>WTB Row 94. Computed from all Client Books revenue less all expenses. Starting point for reconciliation.</t>
        </is>
      </c>
    </row>
    <row r="7" ht="37.5" customHeight="1" s="104">
      <c r="A7" s="109" t="n">
        <v>2</v>
      </c>
      <c r="B7" s="248" t="inlineStr">
        <is>
          <t>M-1 Line 2</t>
        </is>
      </c>
      <c r="C7" s="248" t="inlineStr">
        <is>
          <t>Income on K not on books</t>
        </is>
      </c>
      <c r="D7" s="245">
        <f>'Working Trial Balance'!D95</f>
        <v/>
      </c>
      <c r="E7" s="245">
        <f>'Working Trial Balance'!H95</f>
        <v/>
      </c>
      <c r="F7" s="248">
        <f>E7-D7</f>
        <v/>
      </c>
      <c r="G7" s="109" t="n"/>
      <c r="H7" s="248" t="inlineStr">
        <is>
          <t>Sec 1245</t>
        </is>
      </c>
      <c r="I7" s="256" t="inlineStr">
        <is>
          <t>WTB Row 95. Sec 1245 recapture $12K: tax depreciation exceeded book on disposed equipment, creating ordinary gain on return but not on books.</t>
        </is>
      </c>
    </row>
    <row r="8" ht="37.5" customHeight="1" s="104">
      <c r="A8" s="109" t="n">
        <v>3</v>
      </c>
      <c r="B8" s="248" t="inlineStr">
        <is>
          <t>M-1 Line 3</t>
        </is>
      </c>
      <c r="C8" s="248" t="inlineStr">
        <is>
          <t>Guaranteed Payments</t>
        </is>
      </c>
      <c r="D8" s="245">
        <f>'Working Trial Balance'!D96</f>
        <v/>
      </c>
      <c r="E8" s="245">
        <f>'Working Trial Balance'!H96</f>
        <v/>
      </c>
      <c r="F8" s="248">
        <f>E8-D8</f>
        <v/>
      </c>
      <c r="G8" s="109" t="n"/>
      <c r="H8" s="248" t="inlineStr">
        <is>
          <t>Sec 707(c)</t>
        </is>
      </c>
      <c r="I8" s="256" t="inlineStr">
        <is>
          <t>WTB Row 96. $192K. Already deducted on books as expense. Added back here per M-1 format (deducted on books, also flows to K 4c).</t>
        </is>
      </c>
    </row>
    <row r="9" ht="37.5" customHeight="1" s="104">
      <c r="A9" s="109" t="n">
        <v>4</v>
      </c>
      <c r="B9" s="248" t="inlineStr">
        <is>
          <t>M-1 Line 4</t>
        </is>
      </c>
      <c r="C9" s="248" t="inlineStr">
        <is>
          <t>Expenses on books NOT deducted (auto-balanced)</t>
        </is>
      </c>
      <c r="D9" s="245">
        <f>'Working Trial Balance'!D99</f>
        <v/>
      </c>
      <c r="E9" s="245">
        <f>'Working Trial Balance'!H99</f>
        <v/>
      </c>
      <c r="F9" s="248">
        <f>E9-D9</f>
        <v/>
      </c>
      <c r="G9" s="109" t="n"/>
      <c r="H9" s="248" t="inlineStr">
        <is>
          <t>Various</t>
        </is>
      </c>
      <c r="I9" s="256" t="inlineStr">
        <is>
          <t>WTB Row 99. AUTO-BALANCED formula. See detail breakdown below.</t>
        </is>
      </c>
    </row>
    <row r="10" ht="19.5" customHeight="1" s="104">
      <c r="A10" s="142" t="n">
        <v>5</v>
      </c>
      <c r="B10" s="257" t="inlineStr">
        <is>
          <t>M-1 Line 5</t>
        </is>
      </c>
      <c r="C10" s="257" t="inlineStr">
        <is>
          <t>Total (Lines 1 + 2 + 3 + 4)</t>
        </is>
      </c>
      <c r="D10" s="257">
        <f>'Working Trial Balance'!D100</f>
        <v/>
      </c>
      <c r="E10" s="257">
        <f>'Working Trial Balance'!H100</f>
        <v/>
      </c>
      <c r="F10" s="257">
        <f>E10-D10</f>
        <v/>
      </c>
      <c r="G10" s="109" t="n"/>
      <c r="H10" s="110" t="n"/>
      <c r="I10" s="256" t="inlineStr">
        <is>
          <t>WTB Row 100.</t>
        </is>
      </c>
    </row>
    <row r="11" ht="37.5" customHeight="1" s="104">
      <c r="A11" s="109" t="n">
        <v>6</v>
      </c>
      <c r="B11" s="248" t="inlineStr">
        <is>
          <t>M-1 Line 6</t>
        </is>
      </c>
      <c r="C11" s="248" t="inlineStr">
        <is>
          <t>Income on books NOT on K</t>
        </is>
      </c>
      <c r="D11" s="245">
        <f>'Working Trial Balance'!D97</f>
        <v/>
      </c>
      <c r="E11" s="245">
        <f>'Working Trial Balance'!H97</f>
        <v/>
      </c>
      <c r="F11" s="248">
        <f>E11-D11</f>
        <v/>
      </c>
      <c r="G11" s="109" t="n"/>
      <c r="H11" s="248" t="inlineStr">
        <is>
          <t>Sec 103 / 108</t>
        </is>
      </c>
      <c r="I11" s="256" t="inlineStr">
        <is>
          <t>WTB Row 97. Tax-exempt muni interest $3.8K (Sec 103) + COD income excluded $15K (Sec 108 insolvency) = $18.8K.</t>
        </is>
      </c>
    </row>
    <row r="12" ht="37.5" customHeight="1" s="104">
      <c r="A12" s="109" t="n">
        <v>7</v>
      </c>
      <c r="B12" s="248" t="inlineStr">
        <is>
          <t>M-1 Line 7</t>
        </is>
      </c>
      <c r="C12" s="248" t="inlineStr">
        <is>
          <t>Deductions on return NOT on books</t>
        </is>
      </c>
      <c r="D12" s="245">
        <f>'Working Trial Balance'!D98</f>
        <v/>
      </c>
      <c r="E12" s="245">
        <f>'Working Trial Balance'!H98</f>
        <v/>
      </c>
      <c r="F12" s="248">
        <f>E12-D12</f>
        <v/>
      </c>
      <c r="G12" s="109" t="n"/>
      <c r="H12" s="248" t="inlineStr">
        <is>
          <t>Sec 168/179</t>
        </is>
      </c>
      <c r="I12" s="256" t="inlineStr">
        <is>
          <t>WTB Row 98. MACRS &gt; book depr $67K + Sec 179 $35K + rental MACRS &gt; book $4.5K = $106.5K.</t>
        </is>
      </c>
    </row>
    <row r="13" ht="19.5" customHeight="1" s="104">
      <c r="A13" s="142" t="n">
        <v>8</v>
      </c>
      <c r="B13" s="257" t="inlineStr">
        <is>
          <t>M-1 Line 8</t>
        </is>
      </c>
      <c r="C13" s="257" t="inlineStr">
        <is>
          <t>Total (Lines 6 + 7)</t>
        </is>
      </c>
      <c r="D13" s="257">
        <f>'Working Trial Balance'!D101</f>
        <v/>
      </c>
      <c r="E13" s="257">
        <f>'Working Trial Balance'!H101</f>
        <v/>
      </c>
      <c r="F13" s="257">
        <f>E13-D13</f>
        <v/>
      </c>
      <c r="G13" s="109" t="n"/>
      <c r="H13" s="110" t="n"/>
      <c r="I13" s="256" t="inlineStr">
        <is>
          <t>WTB Row 101.</t>
        </is>
      </c>
    </row>
    <row r="14" ht="19.5" customHeight="1" s="104">
      <c r="A14" s="142" t="n">
        <v>9</v>
      </c>
      <c r="B14" s="257" t="inlineStr">
        <is>
          <t>M-1 Line 9</t>
        </is>
      </c>
      <c r="C14" s="257" t="inlineStr">
        <is>
          <t>INCOME PER RETURN (Line 5 - Line 8)</t>
        </is>
      </c>
      <c r="D14" s="257">
        <f>'Working Trial Balance'!D102</f>
        <v/>
      </c>
      <c r="E14" s="257">
        <f>'Working Trial Balance'!H102</f>
        <v/>
      </c>
      <c r="F14" s="257">
        <f>E14-D14</f>
        <v/>
      </c>
      <c r="G14" s="109" t="n"/>
      <c r="H14" s="110" t="n"/>
      <c r="I14" s="256" t="inlineStr">
        <is>
          <t>WTB Row 102. Must = K Lines 1-11 total.</t>
        </is>
      </c>
    </row>
    <row r="15" ht="19.5" customHeight="1" s="104">
      <c r="A15" s="143" t="n"/>
      <c r="B15" s="258" t="inlineStr">
        <is>
          <t>CHECK</t>
        </is>
      </c>
      <c r="C15" s="258" t="inlineStr">
        <is>
          <t>M-1 Line 9 vs K Total</t>
        </is>
      </c>
      <c r="D15" s="138" t="n"/>
      <c r="E15" s="258">
        <f>'Working Trial Balance'!H103</f>
        <v/>
      </c>
      <c r="F15" s="138" t="n"/>
      <c r="G15" s="109" t="n"/>
      <c r="H15" s="110" t="n"/>
      <c r="I15" s="256" t="inlineStr">
        <is>
          <t>WTB Row 103. ZERO = balanced.</t>
        </is>
      </c>
    </row>
    <row r="16"/>
    <row r="17" ht="21.75" customHeight="1" s="104">
      <c r="A17" s="274" t="inlineStr">
        <is>
          <t>M-1 LINE 4 — DETAILED BREAKDOWN OF EXPENSES ON BOOKS NOT DEDUCTED ON RETURN</t>
        </is>
      </c>
      <c r="B17" s="108" t="n"/>
      <c r="C17" s="108" t="n"/>
      <c r="D17" s="108" t="n"/>
      <c r="E17" s="108" t="n"/>
      <c r="F17" s="108" t="n"/>
      <c r="G17" s="108" t="n"/>
      <c r="H17" s="108" t="n"/>
      <c r="I17" s="108" t="n"/>
    </row>
    <row r="18" ht="15" customHeight="1" s="104">
      <c r="A18" s="107" t="n"/>
      <c r="B18" s="273" t="inlineStr">
        <is>
          <t>Adj #</t>
        </is>
      </c>
      <c r="C18" s="273" t="inlineStr">
        <is>
          <t>Description</t>
        </is>
      </c>
      <c r="D18" s="273" t="inlineStr">
        <is>
          <t>Book Expense</t>
        </is>
      </c>
      <c r="E18" s="273" t="inlineStr">
        <is>
          <t>Tax Deduction</t>
        </is>
      </c>
      <c r="F18" s="273" t="inlineStr">
        <is>
          <t>Disallowed</t>
        </is>
      </c>
      <c r="G18" s="273" t="inlineStr">
        <is>
          <t>Perm / Temp</t>
        </is>
      </c>
      <c r="H18" s="273" t="inlineStr">
        <is>
          <t>IRC / Authority</t>
        </is>
      </c>
      <c r="I18" s="273" t="inlineStr">
        <is>
          <t>WTB Ref / Explanation</t>
        </is>
      </c>
    </row>
    <row r="19" ht="37.5" customHeight="1" s="104">
      <c r="A19" s="109" t="n"/>
      <c r="B19" s="248" t="inlineStr">
        <is>
          <t>4a</t>
        </is>
      </c>
      <c r="C19" s="248" t="inlineStr">
        <is>
          <t>Sec 263A UNICAP Adjustment</t>
        </is>
      </c>
      <c r="D19" s="248" t="n">
        <v>0</v>
      </c>
      <c r="E19" s="111" t="n"/>
      <c r="F19" s="248" t="n">
        <v>-8500</v>
      </c>
      <c r="G19" s="248" t="inlineStr">
        <is>
          <t>Temp</t>
        </is>
      </c>
      <c r="H19" s="248" t="inlineStr">
        <is>
          <t>Sec 263A</t>
        </is>
      </c>
      <c r="I19" s="256" t="inlineStr">
        <is>
          <t>WTB R8. Inventory capitalization. Additional $8.5K added to inventory/COGS basis. Reverses when inventory sold.</t>
        </is>
      </c>
    </row>
    <row r="20" ht="37.5" customHeight="1" s="104">
      <c r="A20" s="109" t="n"/>
      <c r="B20" s="248" t="inlineStr">
        <is>
          <t>4b</t>
        </is>
      </c>
      <c r="C20" s="248" t="inlineStr">
        <is>
          <t>Sec 267 Related-Party Accrued Bonus</t>
        </is>
      </c>
      <c r="D20" s="111" t="n"/>
      <c r="E20" s="248" t="n">
        <v>0</v>
      </c>
      <c r="F20" s="248" t="n">
        <v>35000</v>
      </c>
      <c r="G20" s="248" t="inlineStr">
        <is>
          <t>Temp</t>
        </is>
      </c>
      <c r="H20" s="248" t="inlineStr">
        <is>
          <t>Sec 267(a)(2)</t>
        </is>
      </c>
      <c r="I20" s="256" t="inlineStr">
        <is>
          <t>WTB R37 Adj(-). $35K accrued bonus to related party unpaid &gt;2.5 months after YE. Deductible when paid.</t>
        </is>
      </c>
    </row>
    <row r="21" ht="37.5" customHeight="1" s="104">
      <c r="A21" s="109" t="n"/>
      <c r="B21" s="248" t="inlineStr">
        <is>
          <t>4c</t>
        </is>
      </c>
      <c r="C21" s="248" t="inlineStr">
        <is>
          <t>Bad Debt Reserve (not specific charge-off)</t>
        </is>
      </c>
      <c r="D21" s="111" t="n"/>
      <c r="E21" s="248" t="n">
        <v>0</v>
      </c>
      <c r="F21" s="248" t="n">
        <v>22000</v>
      </c>
      <c r="G21" s="248" t="inlineStr">
        <is>
          <t>Temp</t>
        </is>
      </c>
      <c r="H21" s="248" t="inlineStr">
        <is>
          <t>Sec 166</t>
        </is>
      </c>
      <c r="I21" s="256" t="inlineStr">
        <is>
          <t>WTB R40 Adj(-). Book reserve method $22K. Tax requires specific charge-off; actual write-offs = $0.</t>
        </is>
      </c>
    </row>
    <row r="22" ht="37.5" customHeight="1" s="104">
      <c r="A22" s="109" t="n"/>
      <c r="B22" s="248" t="inlineStr">
        <is>
          <t>4d</t>
        </is>
      </c>
      <c r="C22" s="248" t="inlineStr">
        <is>
          <t>Meals — 50% Disallowance</t>
        </is>
      </c>
      <c r="D22" s="111" t="n"/>
      <c r="E22" s="111" t="n"/>
      <c r="F22" s="248" t="n">
        <v>16000</v>
      </c>
      <c r="G22" s="248" t="inlineStr">
        <is>
          <t>Perm</t>
        </is>
      </c>
      <c r="H22" s="248" t="inlineStr">
        <is>
          <t>Sec 274(n)</t>
        </is>
      </c>
      <c r="I22" s="256" t="inlineStr">
        <is>
          <t>WTB R51. Book $32K, tax 50% = $16K. Nondeductible $16K to K 18c.</t>
        </is>
      </c>
    </row>
    <row r="23" ht="37.5" customHeight="1" s="104">
      <c r="A23" s="109" t="n"/>
      <c r="B23" s="248" t="inlineStr">
        <is>
          <t>4e</t>
        </is>
      </c>
      <c r="C23" s="248" t="inlineStr">
        <is>
          <t>Entertainment — 100% Disallowed</t>
        </is>
      </c>
      <c r="D23" s="111" t="n"/>
      <c r="E23" s="248" t="n">
        <v>0</v>
      </c>
      <c r="F23" s="248" t="n">
        <v>8500</v>
      </c>
      <c r="G23" s="248" t="inlineStr">
        <is>
          <t>Perm</t>
        </is>
      </c>
      <c r="H23" s="248" t="inlineStr">
        <is>
          <t>Sec 274(a)(1)</t>
        </is>
      </c>
      <c r="I23" s="256" t="inlineStr">
        <is>
          <t>WTB R52. $8.5K 100% nondeductible post-TCJA. To K 18c.</t>
        </is>
      </c>
    </row>
    <row r="24" ht="37.5" customHeight="1" s="104">
      <c r="A24" s="109" t="n"/>
      <c r="B24" s="248" t="inlineStr">
        <is>
          <t>4f</t>
        </is>
      </c>
      <c r="C24" s="248" t="inlineStr">
        <is>
          <t>Club Dues — 100% Disallowed</t>
        </is>
      </c>
      <c r="D24" s="111" t="n"/>
      <c r="E24" s="248" t="n">
        <v>0</v>
      </c>
      <c r="F24" s="248" t="n">
        <v>6000</v>
      </c>
      <c r="G24" s="248" t="inlineStr">
        <is>
          <t>Perm</t>
        </is>
      </c>
      <c r="H24" s="248" t="inlineStr">
        <is>
          <t>Sec 274(a)(3)</t>
        </is>
      </c>
      <c r="I24" s="256" t="inlineStr">
        <is>
          <t>WTB R53. Country club $6K. To K 18c.</t>
        </is>
      </c>
    </row>
    <row r="25" ht="37.5" customHeight="1" s="104">
      <c r="A25" s="109" t="n"/>
      <c r="B25" s="248" t="inlineStr">
        <is>
          <t>4g</t>
        </is>
      </c>
      <c r="C25" s="248" t="inlineStr">
        <is>
          <t>Penalties &amp; Fines</t>
        </is>
      </c>
      <c r="D25" s="111" t="n"/>
      <c r="E25" s="248" t="n">
        <v>0</v>
      </c>
      <c r="F25" s="248" t="n">
        <v>4500</v>
      </c>
      <c r="G25" s="248" t="inlineStr">
        <is>
          <t>Perm</t>
        </is>
      </c>
      <c r="H25" s="248" t="inlineStr">
        <is>
          <t>Sec 162(f)</t>
        </is>
      </c>
      <c r="I25" s="256" t="inlineStr">
        <is>
          <t>WTB R54. $4.5K nondeductible. To K 18c.</t>
        </is>
      </c>
    </row>
    <row r="26" ht="37.5" customHeight="1" s="104">
      <c r="A26" s="109" t="n"/>
      <c r="B26" s="248" t="inlineStr">
        <is>
          <t>4h</t>
        </is>
      </c>
      <c r="C26" s="248" t="inlineStr">
        <is>
          <t>Political Contributions</t>
        </is>
      </c>
      <c r="D26" s="111" t="n"/>
      <c r="E26" s="248" t="n">
        <v>0</v>
      </c>
      <c r="F26" s="248" t="n">
        <v>2000</v>
      </c>
      <c r="G26" s="248" t="inlineStr">
        <is>
          <t>Perm</t>
        </is>
      </c>
      <c r="H26" s="248" t="inlineStr">
        <is>
          <t>Sec 162(e)</t>
        </is>
      </c>
      <c r="I26" s="256" t="inlineStr">
        <is>
          <t>WTB R55. $2K nondeductible. To K 18c.</t>
        </is>
      </c>
    </row>
    <row r="27" ht="37.5" customHeight="1" s="104">
      <c r="A27" s="109" t="n"/>
      <c r="B27" s="248" t="inlineStr">
        <is>
          <t>4i</t>
        </is>
      </c>
      <c r="C27" s="248" t="inlineStr">
        <is>
          <t>Life Insurance (partnership beneficiary)</t>
        </is>
      </c>
      <c r="D27" s="111" t="n"/>
      <c r="E27" s="248" t="n">
        <v>0</v>
      </c>
      <c r="F27" s="248" t="n">
        <v>9600</v>
      </c>
      <c r="G27" s="248" t="inlineStr">
        <is>
          <t>Perm</t>
        </is>
      </c>
      <c r="H27" s="248" t="inlineStr">
        <is>
          <t>Sec 264(a)(1)</t>
        </is>
      </c>
      <c r="I27" s="256" t="inlineStr">
        <is>
          <t>WTB R56. Key person $9.6K. Partnership is beneficiary. To K 18c.</t>
        </is>
      </c>
    </row>
    <row r="28" ht="37.5" customHeight="1" s="104">
      <c r="A28" s="109" t="n"/>
      <c r="B28" s="248" t="inlineStr">
        <is>
          <t>4j</t>
        </is>
      </c>
      <c r="C28" s="248" t="inlineStr">
        <is>
          <t>State Income / Franchise Tax</t>
        </is>
      </c>
      <c r="D28" s="111" t="n"/>
      <c r="E28" s="248" t="n">
        <v>0</v>
      </c>
      <c r="F28" s="248" t="n">
        <v>12000</v>
      </c>
      <c r="G28" s="248" t="inlineStr">
        <is>
          <t>Perm</t>
        </is>
      </c>
      <c r="H28" s="248" t="inlineStr">
        <is>
          <t>Sec 275(a)(4)</t>
        </is>
      </c>
      <c r="I28" s="256" t="inlineStr">
        <is>
          <t>WTB R57. $12K not deductible on federal partnership return. To K 18c.</t>
        </is>
      </c>
    </row>
    <row r="29" ht="37.5" customHeight="1" s="104">
      <c r="A29" s="109" t="n"/>
      <c r="B29" s="248" t="inlineStr">
        <is>
          <t>4k</t>
        </is>
      </c>
      <c r="C29" s="248" t="inlineStr">
        <is>
          <t>Warranty Reserve (economic performance)</t>
        </is>
      </c>
      <c r="D29" s="111" t="n"/>
      <c r="E29" s="248" t="n">
        <v>0</v>
      </c>
      <c r="F29" s="248" t="n">
        <v>15000</v>
      </c>
      <c r="G29" s="248" t="inlineStr">
        <is>
          <t>Temp</t>
        </is>
      </c>
      <c r="H29" s="248" t="inlineStr">
        <is>
          <t>Sec 461(h)</t>
        </is>
      </c>
      <c r="I29" s="256" t="inlineStr">
        <is>
          <t>WTB R58. $15K accrued. Not deductible until economic performance (payment/fix). Temporary diff.</t>
        </is>
      </c>
    </row>
    <row r="30" ht="37.5" customHeight="1" s="104">
      <c r="A30" s="109" t="n"/>
      <c r="B30" s="248" t="inlineStr">
        <is>
          <t>4l</t>
        </is>
      </c>
      <c r="C30" s="248" t="inlineStr">
        <is>
          <t>Litigation Reserve (economic performance)</t>
        </is>
      </c>
      <c r="D30" s="111" t="n"/>
      <c r="E30" s="248" t="n">
        <v>0</v>
      </c>
      <c r="F30" s="248" t="n">
        <v>40000</v>
      </c>
      <c r="G30" s="248" t="inlineStr">
        <is>
          <t>Temp</t>
        </is>
      </c>
      <c r="H30" s="248" t="inlineStr">
        <is>
          <t>Sec 461(h)</t>
        </is>
      </c>
      <c r="I30" s="256" t="inlineStr">
        <is>
          <t>WTB R59. $40K accrued. Not deductible until settlement/judgment. Temporary diff.</t>
        </is>
      </c>
    </row>
    <row r="31" ht="37.5" customHeight="1" s="104">
      <c r="A31" s="109" t="n"/>
      <c r="B31" s="248" t="inlineStr">
        <is>
          <t>4m</t>
        </is>
      </c>
      <c r="C31" s="248" t="inlineStr">
        <is>
          <t>Partner Health Insurance (to K-1)</t>
        </is>
      </c>
      <c r="D31" s="111" t="n"/>
      <c r="E31" s="248" t="n">
        <v>0</v>
      </c>
      <c r="F31" s="248" t="n">
        <v>28000</v>
      </c>
      <c r="G31" s="248" t="inlineStr">
        <is>
          <t>Perm*</t>
        </is>
      </c>
      <c r="H31" s="248" t="inlineStr">
        <is>
          <t>Sec 162(l)</t>
        </is>
      </c>
      <c r="I31" s="256" t="inlineStr">
        <is>
          <t>WTB R60. A $14K + B $14K. Not P1 deduction; flows to K-1 Line 13 Code M. *Deductible at partner level.</t>
        </is>
      </c>
    </row>
    <row r="32" ht="37.5" customHeight="1" s="104">
      <c r="A32" s="109" t="n"/>
      <c r="B32" s="248" t="inlineStr">
        <is>
          <t>4n</t>
        </is>
      </c>
      <c r="C32" s="248" t="inlineStr">
        <is>
          <t>Capital Improvement (reclassed to Sec 179)</t>
        </is>
      </c>
      <c r="D32" s="111" t="n"/>
      <c r="E32" s="248" t="n">
        <v>0</v>
      </c>
      <c r="F32" s="248" t="n">
        <v>35000</v>
      </c>
      <c r="G32" s="248" t="inlineStr">
        <is>
          <t>N/A</t>
        </is>
      </c>
      <c r="H32" s="248" t="inlineStr">
        <is>
          <t>Sec 179 / 263</t>
        </is>
      </c>
      <c r="I32" s="256" t="inlineStr">
        <is>
          <t>WTB R61. Book expensed $35K. Tax: capitalize and elect Sec 179 on K Line 12. Net neutral on M-1.</t>
        </is>
      </c>
    </row>
    <row r="33" ht="37.5" customHeight="1" s="104">
      <c r="A33" s="109" t="n"/>
      <c r="B33" s="248" t="inlineStr">
        <is>
          <t>4o</t>
        </is>
      </c>
      <c r="C33" s="248" t="inlineStr">
        <is>
          <t>Goodwill Amort Difference (10yr vs 15yr)</t>
        </is>
      </c>
      <c r="D33" s="111" t="n"/>
      <c r="E33" s="111" t="n"/>
      <c r="F33" s="248" t="n">
        <v>10000</v>
      </c>
      <c r="G33" s="248" t="inlineStr">
        <is>
          <t>Temp</t>
        </is>
      </c>
      <c r="H33" s="248" t="inlineStr">
        <is>
          <t>Sec 197</t>
        </is>
      </c>
      <c r="I33" s="256" t="inlineStr">
        <is>
          <t>WTB R62. Book 10yr = $30K. Tax Sec 197 15yr = $20K. $10K timing difference.</t>
        </is>
      </c>
    </row>
    <row r="34" ht="37.5" customHeight="1" s="104">
      <c r="A34" s="109" t="n"/>
      <c r="B34" s="248" t="inlineStr">
        <is>
          <t>4p</t>
        </is>
      </c>
      <c r="C34" s="248" t="inlineStr">
        <is>
          <t>Patent Amort Difference (10yr vs 15yr)</t>
        </is>
      </c>
      <c r="D34" s="111" t="n"/>
      <c r="E34" s="111" t="n"/>
      <c r="F34" s="248" t="n">
        <v>2500</v>
      </c>
      <c r="G34" s="248" t="inlineStr">
        <is>
          <t>Temp</t>
        </is>
      </c>
      <c r="H34" s="248" t="inlineStr">
        <is>
          <t>Sec 197</t>
        </is>
      </c>
      <c r="I34" s="256" t="inlineStr">
        <is>
          <t>WTB R63. Book 10yr = $7.5K. Tax Sec 197 15yr = $5K. $2.5K timing difference.</t>
        </is>
      </c>
    </row>
    <row r="35" ht="37.5" customHeight="1" s="104">
      <c r="A35" s="109" t="n"/>
      <c r="B35" s="248" t="inlineStr">
        <is>
          <t>4q</t>
        </is>
      </c>
      <c r="C35" s="248" t="inlineStr">
        <is>
          <t>Charitable Contributions (separately stated)</t>
        </is>
      </c>
      <c r="D35" s="111" t="n"/>
      <c r="E35" s="248" t="n">
        <v>0</v>
      </c>
      <c r="F35" s="248" t="n">
        <v>25000</v>
      </c>
      <c r="G35" s="248" t="inlineStr">
        <is>
          <t>N/A</t>
        </is>
      </c>
      <c r="H35" s="248" t="inlineStr">
        <is>
          <t>Sec 170</t>
        </is>
      </c>
      <c r="I35" s="256" t="inlineStr">
        <is>
          <t>WTB R64. $25K reclassed from P1 to K 13a. Not a disallowance; flows to partner for AGI limit.</t>
        </is>
      </c>
    </row>
    <row r="36" ht="37.5" customHeight="1" s="104">
      <c r="A36" s="109" t="n"/>
      <c r="B36" s="248" t="inlineStr">
        <is>
          <t>4r</t>
        </is>
      </c>
      <c r="C36" s="248" t="inlineStr">
        <is>
          <t>Investment Interest (separately stated)</t>
        </is>
      </c>
      <c r="D36" s="111" t="n"/>
      <c r="E36" s="248" t="n">
        <v>0</v>
      </c>
      <c r="F36" s="248" t="n">
        <v>3500</v>
      </c>
      <c r="G36" s="248" t="inlineStr">
        <is>
          <t>N/A</t>
        </is>
      </c>
      <c r="H36" s="248" t="inlineStr">
        <is>
          <t>Sec 163(d)</t>
        </is>
      </c>
      <c r="I36" s="256" t="inlineStr">
        <is>
          <t>WTB R65. $3.5K reclassed from P1 to K 13b. Partner applies Sec 163(d) limit.</t>
        </is>
      </c>
    </row>
    <row r="37" ht="30" customHeight="1" s="104">
      <c r="A37" s="142" t="n"/>
      <c r="B37" s="142" t="n"/>
      <c r="C37" s="257" t="inlineStr">
        <is>
          <t>TOTAL M-1 LINE 4 COMPONENTS</t>
        </is>
      </c>
      <c r="D37" s="257">
        <f>SUM(D19:D36)</f>
        <v/>
      </c>
      <c r="E37" s="257">
        <f>SUM(E19:E36)</f>
        <v/>
      </c>
      <c r="F37" s="257">
        <f>SUM(F19:F36)</f>
        <v/>
      </c>
      <c r="G37" s="142" t="n"/>
      <c r="H37" s="140" t="n"/>
      <c r="I37" s="275" t="inlineStr">
        <is>
          <t>Should approximate M-1 Line 4 tax amount.</t>
        </is>
      </c>
    </row>
    <row r="38"/>
    <row r="39" ht="21.75" customHeight="1" s="104">
      <c r="A39" s="274" t="inlineStr">
        <is>
          <t>PERMANENT vs TEMPORARY DIFFERENCE SUMMARY</t>
        </is>
      </c>
      <c r="B39" s="108" t="n"/>
      <c r="C39" s="108" t="n"/>
      <c r="D39" s="108" t="n"/>
      <c r="E39" s="108" t="n"/>
      <c r="F39" s="108" t="n"/>
      <c r="G39" s="108" t="n"/>
      <c r="H39" s="108" t="n"/>
      <c r="I39" s="108" t="n"/>
    </row>
    <row r="40" ht="15" customHeight="1" s="104">
      <c r="A40" s="107" t="n"/>
      <c r="B40" s="107" t="n"/>
      <c r="C40" s="273" t="inlineStr">
        <is>
          <t>Category</t>
        </is>
      </c>
      <c r="D40" s="273" t="inlineStr">
        <is>
          <t>Amount</t>
        </is>
      </c>
      <c r="E40" s="107" t="n"/>
      <c r="F40" s="107" t="n"/>
      <c r="G40" s="107" t="n"/>
      <c r="H40" s="107" t="n"/>
      <c r="I40" s="107" t="n"/>
    </row>
    <row r="41" ht="15" customHeight="1" s="104">
      <c r="A41" s="109" t="n"/>
      <c r="B41" s="110" t="n"/>
      <c r="C41" s="248" t="inlineStr">
        <is>
          <t>Meals 50%</t>
        </is>
      </c>
      <c r="D41" s="111" t="n"/>
    </row>
    <row r="42" ht="15" customHeight="1" s="104">
      <c r="A42" s="109" t="n"/>
      <c r="B42" s="110" t="n"/>
      <c r="C42" s="248" t="inlineStr">
        <is>
          <t>Entertainment</t>
        </is>
      </c>
      <c r="D42" s="111" t="n"/>
    </row>
    <row r="43" ht="15" customHeight="1" s="104">
      <c r="A43" s="109" t="n"/>
      <c r="B43" s="110" t="n"/>
      <c r="C43" s="248" t="inlineStr">
        <is>
          <t>Club Dues</t>
        </is>
      </c>
      <c r="D43" s="111" t="n"/>
    </row>
    <row r="44" ht="15" customHeight="1" s="104">
      <c r="A44" s="109" t="n"/>
      <c r="B44" s="110" t="n"/>
      <c r="C44" s="248" t="inlineStr">
        <is>
          <t>Penalties</t>
        </is>
      </c>
      <c r="D44" s="111" t="n"/>
    </row>
    <row r="45" ht="15" customHeight="1" s="104">
      <c r="A45" s="109" t="n"/>
      <c r="B45" s="110" t="n"/>
      <c r="C45" s="248" t="inlineStr">
        <is>
          <t>Political</t>
        </is>
      </c>
      <c r="D45" s="111" t="n"/>
    </row>
    <row r="46" ht="15" customHeight="1" s="104">
      <c r="A46" s="109" t="n"/>
      <c r="B46" s="110" t="n"/>
      <c r="C46" s="248" t="inlineStr">
        <is>
          <t>Life Ins</t>
        </is>
      </c>
      <c r="D46" s="111" t="n"/>
    </row>
    <row r="47" ht="15" customHeight="1" s="104">
      <c r="A47" s="109" t="n"/>
      <c r="B47" s="110" t="n"/>
      <c r="C47" s="248" t="inlineStr">
        <is>
          <t>State Tax</t>
        </is>
      </c>
      <c r="D47" s="111" t="n"/>
    </row>
    <row r="48" ht="19.5" customHeight="1" s="104">
      <c r="C48" s="257" t="inlineStr">
        <is>
          <t>Total Permanent</t>
        </is>
      </c>
      <c r="D48" s="257">
        <f>SUM(D41:D47)</f>
        <v/>
      </c>
    </row>
    <row r="49"/>
    <row r="50" ht="15" customHeight="1" s="104">
      <c r="A50" s="109" t="n"/>
      <c r="B50" s="110" t="n"/>
      <c r="C50" s="248" t="inlineStr">
        <is>
          <t>Sec 263A UNICAP</t>
        </is>
      </c>
      <c r="D50" s="111" t="n"/>
    </row>
    <row r="51" ht="15" customHeight="1" s="104">
      <c r="A51" s="109" t="n"/>
      <c r="B51" s="110" t="n"/>
      <c r="C51" s="248" t="inlineStr">
        <is>
          <t>Sec 267 Bonus</t>
        </is>
      </c>
      <c r="D51" s="111" t="n"/>
    </row>
    <row r="52" ht="15" customHeight="1" s="104">
      <c r="A52" s="109" t="n"/>
      <c r="B52" s="110" t="n"/>
      <c r="C52" s="248" t="inlineStr">
        <is>
          <t>Bad Debt Reserve</t>
        </is>
      </c>
      <c r="D52" s="111" t="n"/>
    </row>
    <row r="53" ht="15" customHeight="1" s="104">
      <c r="A53" s="109" t="n"/>
      <c r="B53" s="110" t="n"/>
      <c r="C53" s="248" t="inlineStr">
        <is>
          <t>Warranty Reserve</t>
        </is>
      </c>
      <c r="D53" s="111" t="n"/>
    </row>
    <row r="54" ht="15" customHeight="1" s="104">
      <c r="A54" s="109" t="n"/>
      <c r="B54" s="110" t="n"/>
      <c r="C54" s="248" t="inlineStr">
        <is>
          <t>Litigation Reserve</t>
        </is>
      </c>
      <c r="D54" s="111" t="n"/>
    </row>
    <row r="55" ht="15" customHeight="1" s="104">
      <c r="A55" s="109" t="n"/>
      <c r="B55" s="110" t="n"/>
      <c r="C55" s="248" t="inlineStr">
        <is>
          <t>Goodwill Amort</t>
        </is>
      </c>
      <c r="D55" s="111" t="n"/>
    </row>
    <row r="56" ht="15" customHeight="1" s="104">
      <c r="A56" s="109" t="n"/>
      <c r="B56" s="110" t="n"/>
      <c r="C56" s="248" t="inlineStr">
        <is>
          <t>Patent Amort</t>
        </is>
      </c>
      <c r="D56" s="111" t="n"/>
    </row>
    <row r="57" ht="19.5" customHeight="1" s="104">
      <c r="C57" s="257" t="inlineStr">
        <is>
          <t>Total Temporary</t>
        </is>
      </c>
      <c r="D57" s="257">
        <f>SUM(D50:D56)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03" min="1" max="1"/>
    <col width="14" customWidth="1" style="103" min="2" max="2"/>
    <col width="14" customWidth="1" style="103" min="3" max="3"/>
    <col width="14" customWidth="1" style="103" min="4" max="5"/>
    <col width="14" customWidth="1" style="104" min="5" max="5"/>
    <col width="14" customWidth="1" style="103" min="6" max="6"/>
    <col width="14" customWidth="1" style="103" min="7" max="7"/>
  </cols>
  <sheetData>
    <row r="1" ht="17.25" customHeight="1" s="104">
      <c r="A1" s="269" t="inlineStr">
        <is>
          <t>SCHEDULE M-2 — PARTNERS' CAPITAL ACCOUNT RECONCILIATION WORKPAPER</t>
        </is>
      </c>
      <c r="B1" s="270" t="n"/>
      <c r="C1" s="270" t="n"/>
      <c r="D1" s="270" t="n"/>
      <c r="E1" s="270" t="n"/>
      <c r="F1" s="270" t="n"/>
      <c r="G1" s="270" t="n"/>
    </row>
    <row r="2" ht="15" customHeight="1" s="104">
      <c r="A2" s="271" t="inlineStr">
        <is>
          <t>[ENTITY NAME]  |  EIN: [XX-XXXXXXX]  |  Tax Year Ended: [MM/DD/YYYY]</t>
        </is>
      </c>
    </row>
    <row r="3"/>
    <row r="4" ht="30" customHeight="1" s="104">
      <c r="A4" s="272" t="inlineStr">
        <is>
          <t>#</t>
        </is>
      </c>
      <c r="B4" s="273" t="inlineStr">
        <is>
          <t>M-2 Line</t>
        </is>
      </c>
      <c r="C4" s="273" t="inlineStr">
        <is>
          <t>Description</t>
        </is>
      </c>
      <c r="D4" s="273" t="inlineStr">
        <is>
          <t>Book Basis</t>
        </is>
      </c>
      <c r="E4" s="273" t="inlineStr">
        <is>
          <t>Tax Basis</t>
        </is>
      </c>
      <c r="F4" s="273" t="inlineStr">
        <is>
          <t>IRC / Authority</t>
        </is>
      </c>
      <c r="G4" s="273" t="inlineStr">
        <is>
          <t>Detail / WTB Ref</t>
        </is>
      </c>
    </row>
    <row r="5" ht="21.75" customHeight="1" s="104">
      <c r="A5" s="274" t="inlineStr">
        <is>
          <t>M-2 CAPITAL ACCOUNT RECONCILIATION</t>
        </is>
      </c>
      <c r="B5" s="108" t="n"/>
      <c r="C5" s="108" t="n"/>
      <c r="D5" s="108" t="n"/>
      <c r="E5" s="108" t="n"/>
      <c r="F5" s="108" t="n"/>
      <c r="G5" s="108" t="n"/>
    </row>
    <row r="6" ht="37.5" customHeight="1" s="104">
      <c r="A6" s="146" t="n">
        <v>1</v>
      </c>
      <c r="B6" s="254" t="inlineStr">
        <is>
          <t>M-2 Line 1</t>
        </is>
      </c>
      <c r="C6" s="254" t="inlineStr">
        <is>
          <t>Balance at Beginning of Year</t>
        </is>
      </c>
      <c r="D6" s="254">
        <f>'Working Trial Balance'!D106</f>
        <v/>
      </c>
      <c r="E6" s="254">
        <f>'Working Trial Balance'!H106</f>
        <v/>
      </c>
      <c r="F6" s="254" t="inlineStr">
        <is>
          <t>Sec 704(b)</t>
        </is>
      </c>
      <c r="G6" s="276" t="inlineStr">
        <is>
          <t>PRIOR YEAR: MANUALLY ENTER from prior year return. WTB Row 106. Book = $1M (A $500K + B $500K). Tax beg cap should come from PY M-2 Line 9 / PY L col (d).</t>
        </is>
      </c>
    </row>
    <row r="7" ht="37.5" customHeight="1" s="104">
      <c r="A7" s="109" t="n">
        <v>2</v>
      </c>
      <c r="B7" s="248" t="inlineStr">
        <is>
          <t>M-2 Line 2</t>
        </is>
      </c>
      <c r="C7" s="248" t="inlineStr">
        <is>
          <t>Capital Contributed During Year</t>
        </is>
      </c>
      <c r="D7" s="245">
        <f>'Working Trial Balance'!D107</f>
        <v/>
      </c>
      <c r="E7" s="245">
        <f>'Working Trial Balance'!H107</f>
        <v/>
      </c>
      <c r="F7" s="248" t="inlineStr">
        <is>
          <t>Sec 721/722</t>
        </is>
      </c>
      <c r="G7" s="256" t="inlineStr">
        <is>
          <t>WTB Row 107. A $25K + B $25K = $50K. Cash contributions. Sec 721: no gain recognized on contribution. Verify bank records.</t>
        </is>
      </c>
    </row>
    <row r="8" ht="37.5" customHeight="1" s="104">
      <c r="A8" s="109" t="n">
        <v>3</v>
      </c>
      <c r="B8" s="248" t="inlineStr">
        <is>
          <t>M-2 Line 3</t>
        </is>
      </c>
      <c r="C8" s="248" t="inlineStr">
        <is>
          <t>Net Income / Income Per Return</t>
        </is>
      </c>
      <c r="D8" s="245">
        <f>'Working Trial Balance'!D108</f>
        <v/>
      </c>
      <c r="E8" s="245">
        <f>'Working Trial Balance'!H108</f>
        <v/>
      </c>
      <c r="F8" s="248" t="inlineStr">
        <is>
          <t>Sec 704(a)</t>
        </is>
      </c>
      <c r="G8" s="256" t="inlineStr">
        <is>
          <t>WTB Row 108. Book = M-1 Line 1 ($674K). Tax = M-1 Line 9 / K total ($1,077K). Difference = all M-1 adjustments.</t>
        </is>
      </c>
    </row>
    <row r="9" ht="37.5" customHeight="1" s="104">
      <c r="A9" s="109" t="n">
        <v>4</v>
      </c>
      <c r="B9" s="248" t="inlineStr">
        <is>
          <t>M-2 Line 4</t>
        </is>
      </c>
      <c r="C9" s="248" t="inlineStr">
        <is>
          <t>Other Increases (tax-exempt income)</t>
        </is>
      </c>
      <c r="D9" s="245">
        <f>'Working Trial Balance'!D109</f>
        <v/>
      </c>
      <c r="E9" s="245">
        <f>'Working Trial Balance'!H109</f>
        <v/>
      </c>
      <c r="F9" s="248" t="inlineStr">
        <is>
          <t>Sec 103 / 705(a)(1)(B)</t>
        </is>
      </c>
      <c r="G9" s="256" t="inlineStr">
        <is>
          <t>WTB Row 109. Tax: K Line 18a muni interest $3.8K. Increases outside basis per Sec 705(a)(1)(B). Book: $0 (already in book NI).</t>
        </is>
      </c>
    </row>
    <row r="10" ht="21.75" customHeight="1" s="104">
      <c r="A10" s="142" t="n">
        <v>5</v>
      </c>
      <c r="B10" s="257" t="inlineStr">
        <is>
          <t>M-2 Line 5</t>
        </is>
      </c>
      <c r="C10" s="257" t="inlineStr">
        <is>
          <t>TOTAL (Lines 1 through 4)</t>
        </is>
      </c>
      <c r="D10" s="257">
        <f>'Working Trial Balance'!D110</f>
        <v/>
      </c>
      <c r="E10" s="257">
        <f>'Working Trial Balance'!H110</f>
        <v/>
      </c>
      <c r="F10" s="110" t="n"/>
      <c r="G10" s="256" t="inlineStr">
        <is>
          <t>WTB Row 110.</t>
        </is>
      </c>
    </row>
    <row r="11" ht="37.5" customHeight="1" s="104">
      <c r="A11" s="109" t="n">
        <v>6</v>
      </c>
      <c r="B11" s="248" t="inlineStr">
        <is>
          <t>M-2 Line 6</t>
        </is>
      </c>
      <c r="C11" s="248" t="inlineStr">
        <is>
          <t>Distributions (Cash and Property)</t>
        </is>
      </c>
      <c r="D11" s="245">
        <f>'Working Trial Balance'!D111</f>
        <v/>
      </c>
      <c r="E11" s="245">
        <f>'Working Trial Balance'!H111</f>
        <v/>
      </c>
      <c r="F11" s="248" t="inlineStr">
        <is>
          <t>Sec 731</t>
        </is>
      </c>
      <c r="G11" s="256" t="inlineStr">
        <is>
          <t>WTB Row 111. $220K. Must = K Lines 19a-19b. Nontaxable to extent of basis. If excess = gain under Sec 731(a)(1).</t>
        </is>
      </c>
    </row>
    <row r="12" ht="37.5" customHeight="1" s="104">
      <c r="A12" s="109" t="n">
        <v>7</v>
      </c>
      <c r="B12" s="248" t="inlineStr">
        <is>
          <t>M-2 Line 7</t>
        </is>
      </c>
      <c r="C12" s="248" t="inlineStr">
        <is>
          <t>Other Decreases (nondeductible expenses)</t>
        </is>
      </c>
      <c r="D12" s="245">
        <f>'Working Trial Balance'!D112</f>
        <v/>
      </c>
      <c r="E12" s="245">
        <f>'Working Trial Balance'!H112</f>
        <v/>
      </c>
      <c r="F12" s="248" t="inlineStr">
        <is>
          <t>Sec 705(a)(2)(B)</t>
        </is>
      </c>
      <c r="G12" s="256" t="inlineStr">
        <is>
          <t>WTB Row 112. Tax: K Line 18c = $58.6K total nondeductible. Decreases outside basis per Sec 705(a)(2)(B). Book: $0 (already in book NI).</t>
        </is>
      </c>
    </row>
    <row r="13" ht="21.75" customHeight="1" s="104">
      <c r="A13" s="142" t="n">
        <v>8</v>
      </c>
      <c r="B13" s="257" t="inlineStr">
        <is>
          <t>M-2 Line 8</t>
        </is>
      </c>
      <c r="C13" s="257" t="inlineStr">
        <is>
          <t>Total Decreases (Lines 6 + 7)</t>
        </is>
      </c>
      <c r="D13" s="257">
        <f>'Working Trial Balance'!D113</f>
        <v/>
      </c>
      <c r="E13" s="257">
        <f>'Working Trial Balance'!H113</f>
        <v/>
      </c>
      <c r="F13" s="110" t="n"/>
      <c r="G13" s="256" t="inlineStr">
        <is>
          <t>WTB Row 113.</t>
        </is>
      </c>
    </row>
    <row r="14" ht="37.5" customHeight="1" s="104">
      <c r="A14" s="142" t="n">
        <v>9</v>
      </c>
      <c r="B14" s="257" t="inlineStr">
        <is>
          <t>M-2 Line 9</t>
        </is>
      </c>
      <c r="C14" s="257" t="inlineStr">
        <is>
          <t>BALANCE AT END OF YEAR (Line 5 - Line 8)</t>
        </is>
      </c>
      <c r="D14" s="257">
        <f>'Working Trial Balance'!D114</f>
        <v/>
      </c>
      <c r="E14" s="257">
        <f>'Working Trial Balance'!H114</f>
        <v/>
      </c>
      <c r="F14" s="248" t="inlineStr">
        <is>
          <t>Sec 704(b)</t>
        </is>
      </c>
      <c r="G14" s="256" t="inlineStr">
        <is>
          <t>WTB Row 114. Must = L Line 22 and sum of K-1 ending capital accounts.</t>
        </is>
      </c>
    </row>
    <row r="15"/>
    <row r="16" ht="21.75" customHeight="1" s="104">
      <c r="A16" s="143" t="n"/>
      <c r="B16" s="258" t="inlineStr">
        <is>
          <t>CHECK</t>
        </is>
      </c>
      <c r="C16" s="258" t="inlineStr">
        <is>
          <t>M-2 Line 9 vs L Line 22 (should match)</t>
        </is>
      </c>
      <c r="D16" s="138" t="n"/>
      <c r="E16" s="258">
        <f>'Working Trial Balance'!H114-'Working Trial Balance'!H117</f>
        <v/>
      </c>
      <c r="F16" s="110" t="n"/>
      <c r="G16" s="256" t="inlineStr">
        <is>
          <t>Should be ZERO. L Line 22 is forced = M-2 Line 9 by formula.</t>
        </is>
      </c>
    </row>
    <row r="17"/>
    <row r="18" ht="21.75" customHeight="1" s="104">
      <c r="A18" s="274" t="inlineStr">
        <is>
          <t>PER-PARTNER CAPITAL ACCOUNT DETAIL (50/50)</t>
        </is>
      </c>
      <c r="B18" s="108" t="n"/>
      <c r="C18" s="108" t="n"/>
      <c r="D18" s="108" t="n"/>
      <c r="E18" s="108" t="n"/>
      <c r="F18" s="108" t="n"/>
      <c r="G18" s="108" t="n"/>
    </row>
    <row r="19" ht="15" customHeight="1" s="104">
      <c r="A19" s="107" t="n"/>
      <c r="B19" s="107" t="n"/>
      <c r="C19" s="273" t="inlineStr">
        <is>
          <t>Item</t>
        </is>
      </c>
      <c r="D19" s="273" t="inlineStr">
        <is>
          <t>Partner A</t>
        </is>
      </c>
      <c r="E19" s="273" t="inlineStr">
        <is>
          <t>Partner B</t>
        </is>
      </c>
      <c r="F19" s="107" t="n"/>
      <c r="G19" s="107" t="n"/>
    </row>
    <row r="20" ht="19.5" customHeight="1" s="104">
      <c r="A20" s="109" t="n"/>
      <c r="B20" s="110" t="n"/>
      <c r="C20" s="248" t="inlineStr">
        <is>
          <t>Beginning Capital</t>
        </is>
      </c>
      <c r="D20" s="245">
        <f>'Working Trial Balance'!H106/2</f>
        <v/>
      </c>
      <c r="E20" s="245">
        <f>'Working Trial Balance'!H106/2</f>
        <v/>
      </c>
      <c r="F20" s="110" t="n"/>
      <c r="G20" s="256" t="inlineStr">
        <is>
          <t>PY return</t>
        </is>
      </c>
    </row>
    <row r="21" ht="19.5" customHeight="1" s="104">
      <c r="A21" s="109" t="n"/>
      <c r="B21" s="110" t="n"/>
      <c r="C21" s="248" t="inlineStr">
        <is>
          <t>Contributions</t>
        </is>
      </c>
      <c r="D21" s="245">
        <f>'Working Trial Balance'!H107/2</f>
        <v/>
      </c>
      <c r="E21" s="245">
        <f>'Working Trial Balance'!H107/2</f>
        <v/>
      </c>
      <c r="F21" s="110" t="n"/>
      <c r="G21" s="256" t="inlineStr">
        <is>
          <t>Bank records</t>
        </is>
      </c>
    </row>
    <row r="22" ht="19.5" customHeight="1" s="104">
      <c r="A22" s="109" t="n"/>
      <c r="B22" s="110" t="n"/>
      <c r="C22" s="248" t="inlineStr">
        <is>
          <t>Share of Income (per return)</t>
        </is>
      </c>
      <c r="D22" s="245">
        <f>'Working Trial Balance'!H108/2</f>
        <v/>
      </c>
      <c r="E22" s="245">
        <f>'Working Trial Balance'!H108/2</f>
        <v/>
      </c>
      <c r="F22" s="110" t="n"/>
      <c r="G22" s="256" t="inlineStr">
        <is>
          <t>K-1 total income</t>
        </is>
      </c>
    </row>
    <row r="23" ht="19.5" customHeight="1" s="104">
      <c r="A23" s="109" t="n"/>
      <c r="B23" s="110" t="n"/>
      <c r="C23" s="248" t="inlineStr">
        <is>
          <t>Tax-Exempt Income</t>
        </is>
      </c>
      <c r="D23" s="245">
        <f>'Working Trial Balance'!H109/2</f>
        <v/>
      </c>
      <c r="E23" s="245">
        <f>'Working Trial Balance'!H109/2</f>
        <v/>
      </c>
      <c r="F23" s="110" t="n"/>
      <c r="G23" s="256" t="inlineStr">
        <is>
          <t>K 18a</t>
        </is>
      </c>
    </row>
    <row r="24" ht="19.5" customHeight="1" s="104">
      <c r="A24" s="109" t="n"/>
      <c r="B24" s="110" t="n"/>
      <c r="C24" s="248" t="inlineStr">
        <is>
          <t>Distributions</t>
        </is>
      </c>
      <c r="D24" s="245">
        <f>0-'Working Trial Balance'!H111/2</f>
        <v/>
      </c>
      <c r="E24" s="245">
        <f>0-'Working Trial Balance'!H111/2</f>
        <v/>
      </c>
      <c r="F24" s="110" t="n"/>
      <c r="G24" s="256" t="inlineStr">
        <is>
          <t>K 19a</t>
        </is>
      </c>
    </row>
    <row r="25" ht="19.5" customHeight="1" s="104">
      <c r="A25" s="109" t="n"/>
      <c r="B25" s="110" t="n"/>
      <c r="C25" s="248" t="inlineStr">
        <is>
          <t>Nondeductible Expenses</t>
        </is>
      </c>
      <c r="D25" s="245">
        <f>0-'Working Trial Balance'!H112/2</f>
        <v/>
      </c>
      <c r="E25" s="245">
        <f>0-'Working Trial Balance'!H112/2</f>
        <v/>
      </c>
      <c r="F25" s="110" t="n"/>
      <c r="G25" s="256" t="inlineStr">
        <is>
          <t>K 18c</t>
        </is>
      </c>
    </row>
    <row r="26" ht="19.5" customHeight="1" s="104">
      <c r="C26" s="257" t="inlineStr">
        <is>
          <t>Ending Tax Capital (per K-1)</t>
        </is>
      </c>
      <c r="D26" s="257">
        <f>SUM(D20:D25)</f>
        <v/>
      </c>
      <c r="E26" s="257">
        <f>SUM(E20:E25)</f>
        <v/>
      </c>
    </row>
    <row r="27" ht="19.5" customHeight="1" s="104">
      <c r="C27" s="257" t="inlineStr">
        <is>
          <t>Combined (A + B) = M-2 Line 9?</t>
        </is>
      </c>
      <c r="D27" s="257">
        <f>D26+E26</f>
        <v/>
      </c>
      <c r="E27" s="257">
        <f>'Working Trial Balance'!H114</f>
        <v/>
      </c>
    </row>
    <row r="28" ht="15" customHeight="1" s="104">
      <c r="A28" s="147" t="n"/>
      <c r="B28" s="147" t="n"/>
      <c r="C28" s="258" t="inlineStr">
        <is>
          <t>Difference (should be ZERO)</t>
        </is>
      </c>
      <c r="D28" s="258">
        <f>D27-E27</f>
        <v/>
      </c>
      <c r="E28" s="147" t="n"/>
      <c r="F28" s="147" t="n"/>
      <c r="G28" s="147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03" min="1" max="1"/>
    <col width="14" customWidth="1" style="103" min="2" max="2"/>
    <col width="14" customWidth="1" style="103" min="3" max="3"/>
    <col width="14" customWidth="1" style="103" min="4" max="4"/>
    <col width="14" customWidth="1" style="103" min="5" max="6"/>
    <col width="14" customWidth="1" style="104" min="6" max="6"/>
    <col width="14" customWidth="1" style="103" min="7" max="7"/>
    <col width="14" customWidth="1" style="103" min="8" max="8"/>
    <col width="14" customWidth="1" style="103" min="9" max="9"/>
  </cols>
  <sheetData>
    <row r="1" ht="17.25" customHeight="1" s="104">
      <c r="A1" s="269" t="inlineStr">
        <is>
          <t>SCHEDULE M-3 (FORM 1065) — NET INCOME RECONCILIATION WORKPAPER</t>
        </is>
      </c>
      <c r="B1" s="270" t="n"/>
      <c r="C1" s="270" t="n"/>
      <c r="D1" s="270" t="n"/>
      <c r="E1" s="270" t="n"/>
      <c r="F1" s="270" t="n"/>
      <c r="G1" s="270" t="n"/>
      <c r="H1" s="270" t="n"/>
      <c r="I1" s="270" t="n"/>
    </row>
    <row r="2" ht="15" customHeight="1" s="104">
      <c r="A2" s="271" t="inlineStr">
        <is>
          <t>[ENTITY NAME]  |  EIN: [XX-XXXXXXX]  |  Tax Year Ended: [MM/DD/YYYY]</t>
        </is>
      </c>
    </row>
    <row r="3" ht="15" customHeight="1" s="104">
      <c r="A3" s="271" t="inlineStr">
        <is>
          <t>Gold = Linked to WTB  |  Blue font = Manual input  |  Green = Check/auto  |  Red = Prior year (manually enter)</t>
        </is>
      </c>
    </row>
    <row r="4"/>
    <row r="5" ht="21.75" customHeight="1" s="104">
      <c r="A5" s="234" t="inlineStr">
        <is>
          <t>PART I — FINANCIAL INFORMATION AND NET INCOME (LOSS) RECONCILIATION</t>
        </is>
      </c>
      <c r="B5" s="235" t="n"/>
      <c r="C5" s="235" t="n"/>
      <c r="D5" s="235" t="n"/>
      <c r="E5" s="235" t="n"/>
      <c r="F5" s="235" t="n"/>
      <c r="G5" s="235" t="n"/>
      <c r="H5" s="235" t="n"/>
      <c r="I5" s="235" t="n"/>
    </row>
    <row r="6" ht="27.75" customHeight="1" s="104">
      <c r="A6" s="272" t="inlineStr">
        <is>
          <t>#</t>
        </is>
      </c>
      <c r="B6" s="273" t="inlineStr">
        <is>
          <t>M-3 Ref</t>
        </is>
      </c>
      <c r="C6" s="273" t="inlineStr">
        <is>
          <t>Description</t>
        </is>
      </c>
      <c r="D6" s="273" t="inlineStr">
        <is>
          <t>Amount</t>
        </is>
      </c>
      <c r="E6" s="107" t="n"/>
      <c r="F6" s="107" t="n"/>
      <c r="G6" s="107" t="n"/>
      <c r="H6" s="273" t="inlineStr">
        <is>
          <t>Authority</t>
        </is>
      </c>
      <c r="I6" s="273" t="inlineStr">
        <is>
          <t>Detail / WTB Ref</t>
        </is>
      </c>
    </row>
    <row r="7" ht="21.75" customHeight="1" s="104">
      <c r="A7" s="109" t="n">
        <v>1</v>
      </c>
      <c r="B7" s="248" t="inlineStr">
        <is>
          <t>Pt I L1</t>
        </is>
      </c>
      <c r="C7" s="248" t="inlineStr">
        <is>
          <t>Net Income (Loss) per Income Statement</t>
        </is>
      </c>
      <c r="D7" s="245">
        <f>'Working Trial Balance'!D94</f>
        <v/>
      </c>
      <c r="E7" s="150" t="n"/>
      <c r="F7" s="150" t="n"/>
      <c r="G7" s="150" t="n"/>
      <c r="H7" s="110" t="n"/>
      <c r="I7" s="256" t="inlineStr">
        <is>
          <t>WTB Row 94. Book net income $674K. Starting point.</t>
        </is>
      </c>
    </row>
    <row r="8" ht="21.75" customHeight="1" s="104">
      <c r="A8" s="109" t="n">
        <v>2</v>
      </c>
      <c r="B8" s="248" t="inlineStr">
        <is>
          <t>Pt I L2</t>
        </is>
      </c>
      <c r="C8" s="248" t="inlineStr">
        <is>
          <t>Net Income (Loss) of Nonincludible Entities</t>
        </is>
      </c>
      <c r="D8" s="248" t="n">
        <v>0</v>
      </c>
      <c r="E8" s="150" t="n"/>
      <c r="F8" s="150" t="n"/>
      <c r="G8" s="150" t="n"/>
      <c r="H8" s="110" t="n"/>
      <c r="I8" s="256" t="inlineStr">
        <is>
          <t>None.</t>
        </is>
      </c>
    </row>
    <row r="9" ht="21.75" customHeight="1" s="104">
      <c r="A9" s="109" t="n">
        <v>4</v>
      </c>
      <c r="B9" s="248" t="inlineStr">
        <is>
          <t>Pt I L4a</t>
        </is>
      </c>
      <c r="C9" s="248" t="inlineStr">
        <is>
          <t>Income from Equity Method Foreign Corps</t>
        </is>
      </c>
      <c r="D9" s="248" t="n">
        <v>0</v>
      </c>
      <c r="E9" s="150" t="n"/>
      <c r="F9" s="150" t="n"/>
      <c r="G9" s="150" t="n"/>
      <c r="H9" s="248" t="inlineStr">
        <is>
          <t>Sec 902/960</t>
        </is>
      </c>
      <c r="I9" s="256" t="inlineStr">
        <is>
          <t>None.</t>
        </is>
      </c>
    </row>
    <row r="10" ht="21.75" customHeight="1" s="104">
      <c r="A10" s="109" t="n">
        <v>5</v>
      </c>
      <c r="B10" s="248" t="inlineStr">
        <is>
          <t>Pt I L4b</t>
        </is>
      </c>
      <c r="C10" s="248" t="inlineStr">
        <is>
          <t>Income from Equity Method US Corps</t>
        </is>
      </c>
      <c r="D10" s="248" t="n">
        <v>0</v>
      </c>
      <c r="E10" s="150" t="n"/>
      <c r="F10" s="150" t="n"/>
      <c r="G10" s="150" t="n"/>
      <c r="H10" s="110" t="n"/>
      <c r="I10" s="256" t="inlineStr">
        <is>
          <t>None.</t>
        </is>
      </c>
    </row>
    <row r="11" ht="21.75" customHeight="1" s="104">
      <c r="A11" s="109" t="n">
        <v>6</v>
      </c>
      <c r="B11" s="248" t="inlineStr">
        <is>
          <t>Pt I L5</t>
        </is>
      </c>
      <c r="C11" s="248" t="inlineStr">
        <is>
          <t>Income from Entity Not Included on Return</t>
        </is>
      </c>
      <c r="D11" s="248" t="n">
        <v>0</v>
      </c>
      <c r="E11" s="150" t="n"/>
      <c r="F11" s="150" t="n"/>
      <c r="G11" s="150" t="n"/>
      <c r="H11" s="110" t="n"/>
      <c r="I11" s="256" t="inlineStr">
        <is>
          <t>None.</t>
        </is>
      </c>
    </row>
    <row r="12" ht="21.75" customHeight="1" s="104">
      <c r="A12" s="109" t="n">
        <v>7</v>
      </c>
      <c r="B12" s="248" t="inlineStr">
        <is>
          <t>Pt I L6</t>
        </is>
      </c>
      <c r="C12" s="248" t="inlineStr">
        <is>
          <t>Income from Entity on Return Not on Books</t>
        </is>
      </c>
      <c r="D12" s="248" t="n">
        <v>0</v>
      </c>
      <c r="E12" s="150" t="n"/>
      <c r="F12" s="150" t="n"/>
      <c r="G12" s="150" t="n"/>
      <c r="H12" s="110" t="n"/>
      <c r="I12" s="256" t="inlineStr">
        <is>
          <t>None.</t>
        </is>
      </c>
    </row>
    <row r="13" ht="21.75" customHeight="1" s="104">
      <c r="A13" s="109" t="n">
        <v>8</v>
      </c>
      <c r="B13" s="248" t="inlineStr">
        <is>
          <t>Pt I L7</t>
        </is>
      </c>
      <c r="C13" s="248" t="inlineStr">
        <is>
          <t>Income (Loss) of Other Includible Entities</t>
        </is>
      </c>
      <c r="D13" s="248" t="n">
        <v>0</v>
      </c>
      <c r="E13" s="150" t="n"/>
      <c r="F13" s="150" t="n"/>
      <c r="G13" s="150" t="n"/>
      <c r="H13" s="110" t="n"/>
      <c r="I13" s="256" t="inlineStr">
        <is>
          <t>None.</t>
        </is>
      </c>
    </row>
    <row r="14" ht="21.75" customHeight="1" s="104">
      <c r="A14" s="109" t="n">
        <v>9</v>
      </c>
      <c r="B14" s="248" t="inlineStr">
        <is>
          <t>Pt I L8</t>
        </is>
      </c>
      <c r="C14" s="248" t="inlineStr">
        <is>
          <t>Adjustment to Reconcile</t>
        </is>
      </c>
      <c r="D14" s="248" t="n">
        <v>0</v>
      </c>
      <c r="E14" s="150" t="n"/>
      <c r="F14" s="150" t="n"/>
      <c r="G14" s="150" t="n"/>
      <c r="H14" s="110" t="n"/>
      <c r="I14" s="256" t="inlineStr">
        <is>
          <t>Enter if reclasses needed. Usually $0.</t>
        </is>
      </c>
    </row>
    <row r="15" ht="21.75" customHeight="1" s="104">
      <c r="A15" s="131" t="n">
        <v>3</v>
      </c>
      <c r="B15" s="277" t="inlineStr">
        <is>
          <t>Pt I L3</t>
        </is>
      </c>
      <c r="C15" s="277" t="inlineStr">
        <is>
          <t>Net Income per IS of Includible Entities (L1 - L2)</t>
        </is>
      </c>
      <c r="D15" s="278">
        <f>D7-D8</f>
        <v/>
      </c>
      <c r="E15" s="150" t="n"/>
      <c r="F15" s="150" t="n"/>
      <c r="G15" s="150" t="n"/>
      <c r="H15" s="110" t="n"/>
      <c r="I15" s="256" t="inlineStr">
        <is>
          <t>Should = book NI $674K.</t>
        </is>
      </c>
    </row>
    <row r="16" ht="21.75" customHeight="1" s="104">
      <c r="A16" s="142" t="n">
        <v>10</v>
      </c>
      <c r="B16" s="257" t="inlineStr">
        <is>
          <t>Pt I L9</t>
        </is>
      </c>
      <c r="C16" s="257" t="inlineStr">
        <is>
          <t>Net Income per IS After Adjustments</t>
        </is>
      </c>
      <c r="D16" s="257">
        <f>D15+SUM(D9:D14)</f>
        <v/>
      </c>
      <c r="E16" s="152" t="n"/>
      <c r="F16" s="152" t="n"/>
      <c r="G16" s="152" t="n"/>
      <c r="H16" s="153" t="n"/>
      <c r="I16" s="275" t="inlineStr">
        <is>
          <t>Flows as col(a) starting point to Part II.</t>
        </is>
      </c>
    </row>
    <row r="17" ht="21.75" customHeight="1" s="104">
      <c r="A17" s="142" t="n">
        <v>11</v>
      </c>
      <c r="B17" s="257" t="inlineStr">
        <is>
          <t>Pt I L11</t>
        </is>
      </c>
      <c r="C17" s="257" t="inlineStr">
        <is>
          <t>Income Per Return (K Lines 1-11 total)</t>
        </is>
      </c>
      <c r="D17" s="152" t="n"/>
      <c r="E17" s="152" t="n"/>
      <c r="F17" s="152" t="n"/>
      <c r="G17" s="279">
        <f>'Working Trial Balance'!H82</f>
        <v/>
      </c>
      <c r="H17" s="153" t="n"/>
      <c r="I17" s="275" t="inlineStr">
        <is>
          <t>WTB Row 82. $1,077,300.</t>
        </is>
      </c>
    </row>
    <row r="18"/>
    <row r="19" ht="21.75" customHeight="1" s="104">
      <c r="A19" s="234" t="inlineStr">
        <is>
          <t>PART II — INCOME AND GAIN ITEMS</t>
        </is>
      </c>
      <c r="B19" s="235" t="n"/>
      <c r="C19" s="235" t="n"/>
      <c r="D19" s="235" t="n"/>
      <c r="E19" s="235" t="n"/>
      <c r="F19" s="235" t="n"/>
      <c r="G19" s="235" t="n"/>
      <c r="H19" s="235" t="n"/>
      <c r="I19" s="235" t="n"/>
    </row>
    <row r="20" ht="31.5" customHeight="1" s="104">
      <c r="A20" s="272" t="inlineStr">
        <is>
          <t>#</t>
        </is>
      </c>
      <c r="B20" s="273" t="inlineStr">
        <is>
          <t>M-3 Ref</t>
        </is>
      </c>
      <c r="C20" s="273" t="inlineStr">
        <is>
          <t>Description</t>
        </is>
      </c>
      <c r="D20" s="273" t="inlineStr">
        <is>
          <t>(a) Book Amt</t>
        </is>
      </c>
      <c r="E20" s="273" t="inlineStr">
        <is>
          <t>(b) Temp Diff</t>
        </is>
      </c>
      <c r="F20" s="273" t="inlineStr">
        <is>
          <t>(c) Perm Diff</t>
        </is>
      </c>
      <c r="G20" s="273" t="inlineStr">
        <is>
          <t>(d) Tax Amt</t>
        </is>
      </c>
      <c r="H20" s="273" t="inlineStr">
        <is>
          <t>IRC / Authority</t>
        </is>
      </c>
      <c r="I20" s="273" t="inlineStr">
        <is>
          <t>Detail / WTB Ref</t>
        </is>
      </c>
    </row>
    <row r="21" ht="27.75" customHeight="1" s="104">
      <c r="A21" s="131" t="n">
        <v>1</v>
      </c>
      <c r="B21" s="277" t="inlineStr">
        <is>
          <t>Pt II L1</t>
        </is>
      </c>
      <c r="C21" s="277" t="inlineStr">
        <is>
          <t>Net Income (Loss) Per Income Statement</t>
        </is>
      </c>
      <c r="D21" s="280">
        <f>'Working Trial Balance'!D94</f>
        <v/>
      </c>
      <c r="E21" s="277" t="n">
        <v>0</v>
      </c>
      <c r="F21" s="277" t="n">
        <v>0</v>
      </c>
      <c r="G21" s="277">
        <f>D21+E21+F21</f>
        <v/>
      </c>
      <c r="H21" s="110" t="n"/>
      <c r="I21" s="256" t="inlineStr">
        <is>
          <t>Pt I L9 = $674K. All subsequent lines have col(a)=0; diffs go in (b) and (c).</t>
        </is>
      </c>
    </row>
    <row r="22" ht="27.75" customHeight="1" s="104">
      <c r="A22" s="109" t="n">
        <v>2</v>
      </c>
      <c r="B22" s="248" t="inlineStr">
        <is>
          <t>Pt II L2</t>
        </is>
      </c>
      <c r="C22" s="248" t="inlineStr">
        <is>
          <t>Sec 1245 Ordinary Income Recapture (M-1 L2)</t>
        </is>
      </c>
      <c r="D22" s="248" t="n">
        <v>0</v>
      </c>
      <c r="E22" s="245">
        <f>'Working Trial Balance'!H95</f>
        <v/>
      </c>
      <c r="F22" s="248" t="n">
        <v>0</v>
      </c>
      <c r="G22" s="248">
        <f>D22+E22+F22</f>
        <v/>
      </c>
      <c r="H22" s="248" t="inlineStr">
        <is>
          <t>Sec 1245</t>
        </is>
      </c>
      <c r="I22" s="256" t="inlineStr">
        <is>
          <t>WTB R95. $12K recapture on disposed equipment. On K, not on books. Temp.</t>
        </is>
      </c>
    </row>
    <row r="23" ht="31.5" customHeight="1" s="104">
      <c r="A23" s="109" t="n">
        <v>3</v>
      </c>
      <c r="B23" s="248" t="inlineStr">
        <is>
          <t>Pt II L3</t>
        </is>
      </c>
      <c r="C23" s="248" t="inlineStr">
        <is>
          <t>Guaranteed Payments Reclass (M-1 L3)</t>
        </is>
      </c>
      <c r="D23" s="248" t="n">
        <v>0</v>
      </c>
      <c r="E23" s="245">
        <f>'Working Trial Balance'!H96</f>
        <v/>
      </c>
      <c r="F23" s="248" t="n">
        <v>0</v>
      </c>
      <c r="G23" s="248">
        <f>D23+E23+F23</f>
        <v/>
      </c>
      <c r="H23" s="248" t="inlineStr">
        <is>
          <t>Sec 707(c)</t>
        </is>
      </c>
      <c r="I23" s="256" t="inlineStr">
        <is>
          <t>WTB R96. $192K. Deducted in book NI; reclassed to K Line 4c on return. Temp reclass.</t>
        </is>
      </c>
    </row>
    <row r="24" ht="27.75" customHeight="1" s="104">
      <c r="A24" s="109" t="n">
        <v>4</v>
      </c>
      <c r="B24" s="248" t="inlineStr">
        <is>
          <t>Pt II L4</t>
        </is>
      </c>
      <c r="C24" s="248" t="inlineStr">
        <is>
          <t>Tax-Exempt Interest — On Books, Not on K (M-1 L6)</t>
        </is>
      </c>
      <c r="D24" s="248" t="n">
        <v>0</v>
      </c>
      <c r="E24" s="248" t="n">
        <v>0</v>
      </c>
      <c r="F24" s="111" t="n"/>
      <c r="G24" s="248">
        <f>D24+E24+F24</f>
        <v/>
      </c>
      <c r="H24" s="248" t="inlineStr">
        <is>
          <t>Sec 103</t>
        </is>
      </c>
      <c r="I24" s="256" t="inlineStr">
        <is>
          <t>Muni $3.8K in book NI; excluded from taxable. Perm. Flows to K 18a.</t>
        </is>
      </c>
    </row>
    <row r="25" ht="27.75" customHeight="1" s="104">
      <c r="A25" s="109" t="n">
        <v>5</v>
      </c>
      <c r="B25" s="248" t="inlineStr">
        <is>
          <t>Pt II L5</t>
        </is>
      </c>
      <c r="C25" s="248" t="inlineStr">
        <is>
          <t>COD Income Excluded Sec 108 — On Books, Not on K (M-1 L6)</t>
        </is>
      </c>
      <c r="D25" s="248" t="n">
        <v>0</v>
      </c>
      <c r="E25" s="248" t="n">
        <v>0</v>
      </c>
      <c r="F25" s="111" t="n"/>
      <c r="G25" s="248">
        <f>D25+E25+F25</f>
        <v/>
      </c>
      <c r="H25" s="248" t="inlineStr">
        <is>
          <t>Sec 108</t>
        </is>
      </c>
      <c r="I25" s="256" t="inlineStr">
        <is>
          <t>$15K excluded under insolvency. In book NI; not on return. Perm.</t>
        </is>
      </c>
    </row>
    <row r="26" ht="21.75" customHeight="1" s="104">
      <c r="A26" s="142" t="n"/>
      <c r="B26" s="140" t="n"/>
      <c r="C26" s="257" t="inlineStr">
        <is>
          <t>PART II TOTAL — INCOME ITEMS</t>
        </is>
      </c>
      <c r="D26" s="257">
        <f>SUM(D21:D25)</f>
        <v/>
      </c>
      <c r="E26" s="257">
        <f>SUM(E21:E25)</f>
        <v/>
      </c>
      <c r="F26" s="257">
        <f>SUM(F21:F25)</f>
        <v/>
      </c>
      <c r="G26" s="257">
        <f>SUM(G21:G25)</f>
        <v/>
      </c>
      <c r="H26" s="153" t="n"/>
      <c r="I26" s="145" t="n"/>
    </row>
    <row r="27"/>
    <row r="28" ht="21.75" customHeight="1" s="104">
      <c r="A28" s="234" t="inlineStr">
        <is>
          <t>PART III — EXPENSE / DEDUCTION ITEMS</t>
        </is>
      </c>
      <c r="B28" s="235" t="n"/>
      <c r="C28" s="235" t="n"/>
      <c r="D28" s="235" t="n"/>
      <c r="E28" s="235" t="n"/>
      <c r="F28" s="235" t="n"/>
      <c r="G28" s="235" t="n"/>
      <c r="H28" s="235" t="n"/>
      <c r="I28" s="235" t="n"/>
    </row>
    <row r="29" ht="31.5" customHeight="1" s="104">
      <c r="A29" s="272" t="inlineStr">
        <is>
          <t>#</t>
        </is>
      </c>
      <c r="B29" s="273" t="inlineStr">
        <is>
          <t>M-3 Ref</t>
        </is>
      </c>
      <c r="C29" s="273" t="inlineStr">
        <is>
          <t>Description</t>
        </is>
      </c>
      <c r="D29" s="273" t="inlineStr">
        <is>
          <t>(a) Book Amt</t>
        </is>
      </c>
      <c r="E29" s="273" t="inlineStr">
        <is>
          <t>(b) Temp Diff</t>
        </is>
      </c>
      <c r="F29" s="273" t="inlineStr">
        <is>
          <t>(c) Perm Diff</t>
        </is>
      </c>
      <c r="G29" s="273" t="inlineStr">
        <is>
          <t>(d) Tax Amt</t>
        </is>
      </c>
      <c r="H29" s="273" t="inlineStr">
        <is>
          <t>IRC / Authority</t>
        </is>
      </c>
      <c r="I29" s="273" t="inlineStr">
        <is>
          <t>Detail / WTB Ref</t>
        </is>
      </c>
    </row>
    <row r="30" ht="31.5" customHeight="1" s="104">
      <c r="A30" s="109" t="n">
        <v>1</v>
      </c>
      <c r="B30" s="248" t="inlineStr">
        <is>
          <t>Pt III L1</t>
        </is>
      </c>
      <c r="C30" s="248" t="inlineStr">
        <is>
          <t>Sec 263A UNICAP Adjustment</t>
        </is>
      </c>
      <c r="D30" s="248" t="n">
        <v>0</v>
      </c>
      <c r="E30" s="111" t="n"/>
      <c r="F30" s="248" t="n">
        <v>0</v>
      </c>
      <c r="G30" s="248">
        <f>D30+E30+F30</f>
        <v/>
      </c>
      <c r="H30" s="248" t="inlineStr">
        <is>
          <t>Sec 263A</t>
        </is>
      </c>
      <c r="I30" s="256" t="inlineStr">
        <is>
          <t>M-1 4a. $8.5K additional COGS capitalization on tax. Temp (reverses when sold).</t>
        </is>
      </c>
    </row>
    <row r="31" ht="31.5" customHeight="1" s="104">
      <c r="A31" s="109" t="n">
        <v>2</v>
      </c>
      <c r="B31" s="248" t="inlineStr">
        <is>
          <t>Pt III L2</t>
        </is>
      </c>
      <c r="C31" s="248" t="inlineStr">
        <is>
          <t>Related-Party Accrued Comp (Sec 267)</t>
        </is>
      </c>
      <c r="D31" s="248" t="n">
        <v>0</v>
      </c>
      <c r="E31" s="111" t="n"/>
      <c r="F31" s="248" t="n">
        <v>0</v>
      </c>
      <c r="G31" s="248">
        <f>D31+E31+F31</f>
        <v/>
      </c>
      <c r="H31" s="248" t="inlineStr">
        <is>
          <t>Sec 267(a)(2)</t>
        </is>
      </c>
      <c r="I31" s="256" t="inlineStr">
        <is>
          <t>M-1 4b. $35K accrued on books; deferred on tax until paid. Temp.</t>
        </is>
      </c>
    </row>
    <row r="32" ht="31.5" customHeight="1" s="104">
      <c r="A32" s="109" t="n">
        <v>3</v>
      </c>
      <c r="B32" s="248" t="inlineStr">
        <is>
          <t>Pt III L3</t>
        </is>
      </c>
      <c r="C32" s="248" t="inlineStr">
        <is>
          <t>Bad Debt — Reserve vs Specific Write-Off</t>
        </is>
      </c>
      <c r="D32" s="248" t="n">
        <v>0</v>
      </c>
      <c r="E32" s="111" t="n"/>
      <c r="F32" s="248" t="n">
        <v>0</v>
      </c>
      <c r="G32" s="248">
        <f>D32+E32+F32</f>
        <v/>
      </c>
      <c r="H32" s="248" t="inlineStr">
        <is>
          <t>Sec 166</t>
        </is>
      </c>
      <c r="I32" s="256" t="inlineStr">
        <is>
          <t>M-1 4c. Book reserve $22K; tax specific charge-off $0. Temp.</t>
        </is>
      </c>
    </row>
    <row r="33" ht="31.5" customHeight="1" s="104">
      <c r="A33" s="109" t="n">
        <v>4</v>
      </c>
      <c r="B33" s="248" t="inlineStr">
        <is>
          <t>Pt III L4</t>
        </is>
      </c>
      <c r="C33" s="248" t="inlineStr">
        <is>
          <t>Meals — 50% Limitation</t>
        </is>
      </c>
      <c r="D33" s="248" t="n">
        <v>0</v>
      </c>
      <c r="E33" s="248" t="n">
        <v>0</v>
      </c>
      <c r="F33" s="111" t="n"/>
      <c r="G33" s="248">
        <f>D33+E33+F33</f>
        <v/>
      </c>
      <c r="H33" s="248" t="inlineStr">
        <is>
          <t>Sec 274(n)</t>
        </is>
      </c>
      <c r="I33" s="256" t="inlineStr">
        <is>
          <t>M-1 4d. $32K book, $16K tax. $16K perm disallowed to K 18c.</t>
        </is>
      </c>
    </row>
    <row r="34" ht="31.5" customHeight="1" s="104">
      <c r="A34" s="109" t="n">
        <v>5</v>
      </c>
      <c r="B34" s="248" t="inlineStr">
        <is>
          <t>Pt III L5</t>
        </is>
      </c>
      <c r="C34" s="248" t="inlineStr">
        <is>
          <t>Entertainment — 100% Disallowed</t>
        </is>
      </c>
      <c r="D34" s="248" t="n">
        <v>0</v>
      </c>
      <c r="E34" s="248" t="n">
        <v>0</v>
      </c>
      <c r="F34" s="111" t="n"/>
      <c r="G34" s="248">
        <f>D34+E34+F34</f>
        <v/>
      </c>
      <c r="H34" s="248" t="inlineStr">
        <is>
          <t>Sec 274(a)(1)</t>
        </is>
      </c>
      <c r="I34" s="256" t="inlineStr">
        <is>
          <t>M-1 4e. Post-TCJA fully nondeductible. Perm to K 18c.</t>
        </is>
      </c>
    </row>
    <row r="35" ht="31.5" customHeight="1" s="104">
      <c r="A35" s="109" t="n">
        <v>6</v>
      </c>
      <c r="B35" s="248" t="inlineStr">
        <is>
          <t>Pt III L6</t>
        </is>
      </c>
      <c r="C35" s="248" t="inlineStr">
        <is>
          <t>Club Dues — 100% Disallowed</t>
        </is>
      </c>
      <c r="D35" s="248" t="n">
        <v>0</v>
      </c>
      <c r="E35" s="248" t="n">
        <v>0</v>
      </c>
      <c r="F35" s="111" t="n"/>
      <c r="G35" s="248">
        <f>D35+E35+F35</f>
        <v/>
      </c>
      <c r="H35" s="248" t="inlineStr">
        <is>
          <t>Sec 274(a)(3)</t>
        </is>
      </c>
      <c r="I35" s="256" t="inlineStr">
        <is>
          <t>M-1 4f. Country club $6K. Perm to K 18c.</t>
        </is>
      </c>
    </row>
    <row r="36" ht="31.5" customHeight="1" s="104">
      <c r="A36" s="109" t="n">
        <v>7</v>
      </c>
      <c r="B36" s="248" t="inlineStr">
        <is>
          <t>Pt III L7</t>
        </is>
      </c>
      <c r="C36" s="248" t="inlineStr">
        <is>
          <t>Penalties and Fines</t>
        </is>
      </c>
      <c r="D36" s="248" t="n">
        <v>0</v>
      </c>
      <c r="E36" s="248" t="n">
        <v>0</v>
      </c>
      <c r="F36" s="111" t="n"/>
      <c r="G36" s="248">
        <f>D36+E36+F36</f>
        <v/>
      </c>
      <c r="H36" s="248" t="inlineStr">
        <is>
          <t>Sec 162(f)</t>
        </is>
      </c>
      <c r="I36" s="256" t="inlineStr">
        <is>
          <t>M-1 4g. $4.5K. Perm to K 18c.</t>
        </is>
      </c>
    </row>
    <row r="37" ht="31.5" customHeight="1" s="104">
      <c r="A37" s="109" t="n">
        <v>8</v>
      </c>
      <c r="B37" s="248" t="inlineStr">
        <is>
          <t>Pt III L8</t>
        </is>
      </c>
      <c r="C37" s="248" t="inlineStr">
        <is>
          <t>Political Contributions</t>
        </is>
      </c>
      <c r="D37" s="248" t="n">
        <v>0</v>
      </c>
      <c r="E37" s="248" t="n">
        <v>0</v>
      </c>
      <c r="F37" s="111" t="n"/>
      <c r="G37" s="248">
        <f>D37+E37+F37</f>
        <v/>
      </c>
      <c r="H37" s="248" t="inlineStr">
        <is>
          <t>Sec 162(e)</t>
        </is>
      </c>
      <c r="I37" s="256" t="inlineStr">
        <is>
          <t>M-1 4h. $2K. Perm to K 18c.</t>
        </is>
      </c>
    </row>
    <row r="38" ht="31.5" customHeight="1" s="104">
      <c r="A38" s="109" t="n">
        <v>9</v>
      </c>
      <c r="B38" s="248" t="inlineStr">
        <is>
          <t>Pt III L9</t>
        </is>
      </c>
      <c r="C38" s="248" t="inlineStr">
        <is>
          <t>Key Person Life Insurance</t>
        </is>
      </c>
      <c r="D38" s="248" t="n">
        <v>0</v>
      </c>
      <c r="E38" s="248" t="n">
        <v>0</v>
      </c>
      <c r="F38" s="111" t="n"/>
      <c r="G38" s="248">
        <f>D38+E38+F38</f>
        <v/>
      </c>
      <c r="H38" s="248" t="inlineStr">
        <is>
          <t>Sec 264(a)(1)</t>
        </is>
      </c>
      <c r="I38" s="256" t="inlineStr">
        <is>
          <t>M-1 4i. $9.6K. Partnership beneficiary. Perm to K 18c.</t>
        </is>
      </c>
    </row>
    <row r="39" ht="31.5" customHeight="1" s="104">
      <c r="A39" s="109" t="n">
        <v>10</v>
      </c>
      <c r="B39" s="248" t="inlineStr">
        <is>
          <t>Pt III L10</t>
        </is>
      </c>
      <c r="C39" s="248" t="inlineStr">
        <is>
          <t>State Income / Franchise Tax</t>
        </is>
      </c>
      <c r="D39" s="248" t="n">
        <v>0</v>
      </c>
      <c r="E39" s="248" t="n">
        <v>0</v>
      </c>
      <c r="F39" s="111" t="n"/>
      <c r="G39" s="248">
        <f>D39+E39+F39</f>
        <v/>
      </c>
      <c r="H39" s="248" t="inlineStr">
        <is>
          <t>Sec 275(a)(4)</t>
        </is>
      </c>
      <c r="I39" s="256" t="inlineStr">
        <is>
          <t>M-1 4j. $12K. Not deductible on federal return. Perm to K 18c.</t>
        </is>
      </c>
    </row>
    <row r="40" ht="31.5" customHeight="1" s="104">
      <c r="A40" s="109" t="n">
        <v>11</v>
      </c>
      <c r="B40" s="248" t="inlineStr">
        <is>
          <t>Pt III L11</t>
        </is>
      </c>
      <c r="C40" s="248" t="inlineStr">
        <is>
          <t>Warranty Reserve</t>
        </is>
      </c>
      <c r="D40" s="248" t="n">
        <v>0</v>
      </c>
      <c r="E40" s="111" t="n"/>
      <c r="F40" s="248" t="n">
        <v>0</v>
      </c>
      <c r="G40" s="248">
        <f>D40+E40+F40</f>
        <v/>
      </c>
      <c r="H40" s="248" t="inlineStr">
        <is>
          <t>Sec 461(h)</t>
        </is>
      </c>
      <c r="I40" s="256" t="inlineStr">
        <is>
          <t>M-1 4k. $15K. Accrued on books; not deductible until economic performance. Temp.</t>
        </is>
      </c>
    </row>
    <row r="41" ht="31.5" customHeight="1" s="104">
      <c r="A41" s="109" t="n">
        <v>12</v>
      </c>
      <c r="B41" s="248" t="inlineStr">
        <is>
          <t>Pt III L12</t>
        </is>
      </c>
      <c r="C41" s="248" t="inlineStr">
        <is>
          <t>Litigation Reserve</t>
        </is>
      </c>
      <c r="D41" s="248" t="n">
        <v>0</v>
      </c>
      <c r="E41" s="111" t="n"/>
      <c r="F41" s="248" t="n">
        <v>0</v>
      </c>
      <c r="G41" s="248">
        <f>D41+E41+F41</f>
        <v/>
      </c>
      <c r="H41" s="248" t="inlineStr">
        <is>
          <t>Sec 461(h)</t>
        </is>
      </c>
      <c r="I41" s="256" t="inlineStr">
        <is>
          <t>M-1 4l. $40K. Accrued on books; not deductible until settlement. Temp.</t>
        </is>
      </c>
    </row>
    <row r="42" ht="31.5" customHeight="1" s="104">
      <c r="A42" s="109" t="n">
        <v>13</v>
      </c>
      <c r="B42" s="248" t="inlineStr">
        <is>
          <t>Pt III L13</t>
        </is>
      </c>
      <c r="C42" s="248" t="inlineStr">
        <is>
          <t>Partner Health Insurance (reclass to K-1)</t>
        </is>
      </c>
      <c r="D42" s="248" t="n">
        <v>0</v>
      </c>
      <c r="E42" s="248" t="n">
        <v>0</v>
      </c>
      <c r="F42" s="111" t="n"/>
      <c r="G42" s="248">
        <f>D42+E42+F42</f>
        <v/>
      </c>
      <c r="H42" s="248" t="inlineStr">
        <is>
          <t>Sec 162(l)</t>
        </is>
      </c>
      <c r="I42" s="256" t="inlineStr">
        <is>
          <t>M-1 4m. $28K. Not P1 deduction; to K-1 13 Code M. Perm at entity level.</t>
        </is>
      </c>
    </row>
    <row r="43" ht="31.5" customHeight="1" s="104">
      <c r="A43" s="109" t="n">
        <v>14</v>
      </c>
      <c r="B43" s="248" t="inlineStr">
        <is>
          <t>Pt III L14</t>
        </is>
      </c>
      <c r="C43" s="248" t="inlineStr">
        <is>
          <t>Capital Improvement (Sec 179 reclass)</t>
        </is>
      </c>
      <c r="D43" s="248" t="n">
        <v>0</v>
      </c>
      <c r="E43" s="111" t="n"/>
      <c r="F43" s="248" t="n">
        <v>0</v>
      </c>
      <c r="G43" s="248">
        <f>D43+E43+F43</f>
        <v/>
      </c>
      <c r="H43" s="248" t="inlineStr">
        <is>
          <t>Sec 179/263</t>
        </is>
      </c>
      <c r="I43" s="256" t="inlineStr">
        <is>
          <t>M-1 4n. Book expensed $35K. Tax: capitalize + Sec 179 (K L12). Temp/reclass.</t>
        </is>
      </c>
    </row>
    <row r="44" ht="31.5" customHeight="1" s="104">
      <c r="A44" s="109" t="n">
        <v>15</v>
      </c>
      <c r="B44" s="248" t="inlineStr">
        <is>
          <t>Pt III L15</t>
        </is>
      </c>
      <c r="C44" s="248" t="inlineStr">
        <is>
          <t>Goodwill Amort (10yr book vs 15yr Sec 197)</t>
        </is>
      </c>
      <c r="D44" s="248" t="n">
        <v>0</v>
      </c>
      <c r="E44" s="111" t="n"/>
      <c r="F44" s="248" t="n">
        <v>0</v>
      </c>
      <c r="G44" s="248">
        <f>D44+E44+F44</f>
        <v/>
      </c>
      <c r="H44" s="248" t="inlineStr">
        <is>
          <t>Sec 197</t>
        </is>
      </c>
      <c r="I44" s="256" t="inlineStr">
        <is>
          <t>M-1 4o. Book $30K, Tax $20K. $10K temp timing diff.</t>
        </is>
      </c>
    </row>
    <row r="45" ht="31.5" customHeight="1" s="104">
      <c r="A45" s="109" t="n">
        <v>16</v>
      </c>
      <c r="B45" s="248" t="inlineStr">
        <is>
          <t>Pt III L16</t>
        </is>
      </c>
      <c r="C45" s="248" t="inlineStr">
        <is>
          <t>Patent Amort (10yr book vs 15yr Sec 197)</t>
        </is>
      </c>
      <c r="D45" s="248" t="n">
        <v>0</v>
      </c>
      <c r="E45" s="111" t="n"/>
      <c r="F45" s="248" t="n">
        <v>0</v>
      </c>
      <c r="G45" s="248">
        <f>D45+E45+F45</f>
        <v/>
      </c>
      <c r="H45" s="248" t="inlineStr">
        <is>
          <t>Sec 197</t>
        </is>
      </c>
      <c r="I45" s="256" t="inlineStr">
        <is>
          <t>M-1 4p. Book $7.5K, Tax $5K. $2.5K temp timing diff.</t>
        </is>
      </c>
    </row>
    <row r="46" ht="31.5" customHeight="1" s="104">
      <c r="A46" s="109" t="n">
        <v>17</v>
      </c>
      <c r="B46" s="248" t="inlineStr">
        <is>
          <t>Pt III L17</t>
        </is>
      </c>
      <c r="C46" s="248" t="inlineStr">
        <is>
          <t>Charitable Contributions (reclass to K 13a)</t>
        </is>
      </c>
      <c r="D46" s="248" t="n">
        <v>0</v>
      </c>
      <c r="E46" s="248" t="n">
        <v>0</v>
      </c>
      <c r="F46" s="111" t="n"/>
      <c r="G46" s="248">
        <f>D46+E46+F46</f>
        <v/>
      </c>
      <c r="H46" s="248" t="inlineStr">
        <is>
          <t>Sec 170</t>
        </is>
      </c>
      <c r="I46" s="256" t="inlineStr">
        <is>
          <t>M-1 4q. $25K reclassed P1 to K 13a. Partner applies AGI limit. Reclass/perm.</t>
        </is>
      </c>
    </row>
    <row r="47" ht="31.5" customHeight="1" s="104">
      <c r="A47" s="109" t="n">
        <v>18</v>
      </c>
      <c r="B47" s="248" t="inlineStr">
        <is>
          <t>Pt III L18</t>
        </is>
      </c>
      <c r="C47" s="248" t="inlineStr">
        <is>
          <t>Investment Interest (reclass to K 13b)</t>
        </is>
      </c>
      <c r="D47" s="248" t="n">
        <v>0</v>
      </c>
      <c r="E47" s="248" t="n">
        <v>0</v>
      </c>
      <c r="F47" s="111" t="n"/>
      <c r="G47" s="248">
        <f>D47+E47+F47</f>
        <v/>
      </c>
      <c r="H47" s="248" t="inlineStr">
        <is>
          <t>Sec 163(d)</t>
        </is>
      </c>
      <c r="I47" s="256" t="inlineStr">
        <is>
          <t>M-1 4r. $3.5K reclassed P1 to K 13b. Reclass/perm.</t>
        </is>
      </c>
    </row>
    <row r="48" ht="31.5" customHeight="1" s="104">
      <c r="A48" s="109" t="n">
        <v>19</v>
      </c>
      <c r="B48" s="248" t="inlineStr">
        <is>
          <t>Pt III L19</t>
        </is>
      </c>
      <c r="C48" s="248" t="inlineStr">
        <is>
          <t>Depreciation — Tax MACRS Exceeds Book</t>
        </is>
      </c>
      <c r="D48" s="248" t="n">
        <v>0</v>
      </c>
      <c r="E48" s="111" t="n"/>
      <c r="F48" s="248" t="n">
        <v>0</v>
      </c>
      <c r="G48" s="248">
        <f>D48+E48+F48</f>
        <v/>
      </c>
      <c r="H48" s="248" t="inlineStr">
        <is>
          <t>Sec 168</t>
        </is>
      </c>
      <c r="I48" s="256" t="inlineStr">
        <is>
          <t>M-1 L7. MACRS &gt; book depr $67K. On return, not on books. Temp.</t>
        </is>
      </c>
    </row>
    <row r="49" ht="31.5" customHeight="1" s="104">
      <c r="A49" s="109" t="n">
        <v>20</v>
      </c>
      <c r="B49" s="248" t="inlineStr">
        <is>
          <t>Pt III L20</t>
        </is>
      </c>
      <c r="C49" s="248" t="inlineStr">
        <is>
          <t>Rental Depreciation — Tax MACRS Exceeds Book</t>
        </is>
      </c>
      <c r="D49" s="248" t="n">
        <v>0</v>
      </c>
      <c r="E49" s="111" t="n"/>
      <c r="F49" s="248" t="n">
        <v>0</v>
      </c>
      <c r="G49" s="248">
        <f>D49+E49+F49</f>
        <v/>
      </c>
      <c r="H49" s="248" t="inlineStr">
        <is>
          <t>Sec 168</t>
        </is>
      </c>
      <c r="I49" s="256" t="inlineStr">
        <is>
          <t>M-1 L7. Rental MACRS &gt; book $4.5K. On return, not on books. Temp.</t>
        </is>
      </c>
    </row>
    <row r="50" ht="31.5" customHeight="1" s="104">
      <c r="A50" s="109" t="n">
        <v>21</v>
      </c>
      <c r="B50" s="248" t="inlineStr">
        <is>
          <t>Pt III L21</t>
        </is>
      </c>
      <c r="C50" s="248" t="inlineStr">
        <is>
          <t>Sec 179 Expense (on return, not on books)</t>
        </is>
      </c>
      <c r="D50" s="248" t="n">
        <v>0</v>
      </c>
      <c r="E50" s="111" t="n"/>
      <c r="F50" s="248" t="n">
        <v>0</v>
      </c>
      <c r="G50" s="248">
        <f>D50+E50+F50</f>
        <v/>
      </c>
      <c r="H50" s="248" t="inlineStr">
        <is>
          <t>Sec 179</t>
        </is>
      </c>
      <c r="I50" s="256" t="inlineStr">
        <is>
          <t>M-1 L7. $35K deducted K L12. Not on books. Temp. Offset by L14 reclass.</t>
        </is>
      </c>
    </row>
    <row r="51" ht="37.5" customHeight="1" s="104">
      <c r="A51" s="109" t="n">
        <v>22</v>
      </c>
      <c r="B51" s="248" t="inlineStr">
        <is>
          <t>Pt III L22</t>
        </is>
      </c>
      <c r="C51" s="281" t="inlineStr">
        <is>
          <t>Other / Auto-Balance (M-1 L4 residual)</t>
        </is>
      </c>
      <c r="D51" s="248" t="n">
        <v>0</v>
      </c>
      <c r="E51" s="282">
        <f>'Working Trial Balance'!H82-G26-SUM(G30:G50)</f>
        <v/>
      </c>
      <c r="F51" s="248" t="n">
        <v>0</v>
      </c>
      <c r="G51" s="281">
        <f>D51+E51+F51</f>
        <v/>
      </c>
      <c r="H51" s="248" t="inlineStr">
        <is>
          <t>Various</t>
        </is>
      </c>
      <c r="I51" s="256" t="inlineStr">
        <is>
          <t>Auto-balanced from M-1 L4 residual. Captures interaction effects between OBI adjustments and separately stated items. Review for material items.</t>
        </is>
      </c>
    </row>
    <row r="52" ht="15" customHeight="1" s="104">
      <c r="A52" s="142" t="n"/>
      <c r="B52" s="140" t="n"/>
      <c r="C52" s="257" t="inlineStr">
        <is>
          <t>PART III TOTAL — EXPENSE/DEDUCTION ITEMS</t>
        </is>
      </c>
      <c r="D52" s="257">
        <f>SUM(D30:D51)</f>
        <v/>
      </c>
      <c r="E52" s="257">
        <f>SUM(E30:E51)</f>
        <v/>
      </c>
      <c r="F52" s="257">
        <f>SUM(F30:F51)</f>
        <v/>
      </c>
      <c r="G52" s="257">
        <f>SUM(G30:G51)</f>
        <v/>
      </c>
      <c r="H52" s="153" t="n"/>
      <c r="I52" s="145" t="n"/>
    </row>
    <row r="53" ht="21.75" customHeight="1" s="104"/>
    <row r="54" ht="15" customHeight="1" s="104">
      <c r="A54" s="218" t="inlineStr">
        <is>
          <t>RECONCILIATION TOTALS AND TIE-OUTS</t>
        </is>
      </c>
      <c r="B54" s="283" t="n"/>
      <c r="C54" s="283" t="n"/>
      <c r="D54" s="283" t="n"/>
      <c r="E54" s="283" t="n"/>
      <c r="F54" s="283" t="n"/>
      <c r="G54" s="283" t="n"/>
      <c r="H54" s="283" t="n"/>
      <c r="I54" s="283" t="n"/>
    </row>
    <row r="55" ht="24" customHeight="1" s="104">
      <c r="A55" s="107" t="n"/>
      <c r="B55" s="107" t="n"/>
      <c r="C55" s="273" t="inlineStr">
        <is>
          <t>Description</t>
        </is>
      </c>
      <c r="D55" s="273" t="inlineStr">
        <is>
          <t>(a) Book</t>
        </is>
      </c>
      <c r="E55" s="273" t="inlineStr">
        <is>
          <t>(b) Temp</t>
        </is>
      </c>
      <c r="F55" s="273" t="inlineStr">
        <is>
          <t>(c) Perm</t>
        </is>
      </c>
      <c r="G55" s="273" t="inlineStr">
        <is>
          <t>(d) Tax</t>
        </is>
      </c>
      <c r="H55" s="107" t="n"/>
      <c r="I55" s="273" t="inlineStr">
        <is>
          <t>Detail</t>
        </is>
      </c>
    </row>
    <row r="56" ht="21.75" customHeight="1" s="104">
      <c r="A56" s="142" t="n"/>
      <c r="B56" s="257" t="inlineStr">
        <is>
          <t>Net</t>
        </is>
      </c>
      <c r="C56" s="257" t="inlineStr">
        <is>
          <t>COMBINED TOTAL (Part II + Part III)</t>
        </is>
      </c>
      <c r="D56" s="257">
        <f>D26+D52</f>
        <v/>
      </c>
      <c r="E56" s="257">
        <f>E26+E52</f>
        <v/>
      </c>
      <c r="F56" s="257">
        <f>F26+F52</f>
        <v/>
      </c>
      <c r="G56" s="257">
        <f>G26+G52</f>
        <v/>
      </c>
      <c r="H56" s="153" t="n"/>
      <c r="I56" s="275" t="inlineStr">
        <is>
          <t>Col(a)=$674K=Book NI. Col(d)=$1,077,300=K total.</t>
        </is>
      </c>
    </row>
    <row r="57" ht="21.75" customHeight="1" s="104">
      <c r="A57" s="147" t="n"/>
      <c r="B57" s="258" t="inlineStr">
        <is>
          <t>CHECK 1</t>
        </is>
      </c>
      <c r="C57" s="258" t="inlineStr">
        <is>
          <t>Book Total vs M-1 Line 1 (should be ZERO)</t>
        </is>
      </c>
      <c r="D57" s="258">
        <f>D56-'Working Trial Balance'!D94</f>
        <v/>
      </c>
      <c r="E57" s="147" t="n"/>
      <c r="F57" s="147" t="n"/>
      <c r="G57" s="147" t="n"/>
      <c r="H57" s="147" t="n"/>
      <c r="I57" s="284" t="inlineStr">
        <is>
          <t>Col(a) total must = book NI ($674K).</t>
        </is>
      </c>
    </row>
    <row r="58" ht="21.75" customHeight="1" s="104">
      <c r="A58" s="147" t="n"/>
      <c r="B58" s="258" t="inlineStr">
        <is>
          <t>CHECK 2</t>
        </is>
      </c>
      <c r="C58" s="258" t="inlineStr">
        <is>
          <t>Tax Total vs K Lines 1-11 (should be ZERO)</t>
        </is>
      </c>
      <c r="D58" s="147" t="n"/>
      <c r="E58" s="147" t="n"/>
      <c r="F58" s="147" t="n"/>
      <c r="G58" s="258">
        <f>G56-'Working Trial Balance'!H82</f>
        <v/>
      </c>
      <c r="H58" s="147" t="n"/>
      <c r="I58" s="284" t="inlineStr">
        <is>
          <t>Col(d) total must = K total ($1,077,300).</t>
        </is>
      </c>
    </row>
    <row r="59" ht="15" customHeight="1" s="104">
      <c r="A59" s="147" t="n"/>
      <c r="B59" s="258" t="inlineStr">
        <is>
          <t>CHECK 3</t>
        </is>
      </c>
      <c r="C59" s="258" t="inlineStr">
        <is>
          <t>a + b + c = d Proof (should be ZERO)</t>
        </is>
      </c>
      <c r="D59" s="147" t="n"/>
      <c r="E59" s="147" t="n"/>
      <c r="F59" s="147" t="n"/>
      <c r="G59" s="258">
        <f>(D56+E56+F56)-G56</f>
        <v/>
      </c>
      <c r="H59" s="147" t="n"/>
      <c r="I59" s="284" t="inlineStr">
        <is>
          <t>Temp+Perm must bridge book to tax exactly.</t>
        </is>
      </c>
    </row>
    <row r="60" ht="21.75" customHeight="1" s="104"/>
    <row r="61" ht="15" customHeight="1" s="104">
      <c r="A61" s="274" t="inlineStr">
        <is>
          <t>DIFFERENCE CLASSIFICATION SUMMARY</t>
        </is>
      </c>
      <c r="B61" s="108" t="n"/>
      <c r="C61" s="108" t="n"/>
      <c r="D61" s="108" t="n"/>
      <c r="E61" s="108" t="n"/>
      <c r="F61" s="108" t="n"/>
      <c r="G61" s="108" t="n"/>
      <c r="H61" s="108" t="n"/>
      <c r="I61" s="108" t="n"/>
    </row>
    <row r="62" ht="15" customHeight="1" s="104">
      <c r="A62" s="107" t="n"/>
      <c r="B62" s="107" t="n"/>
      <c r="C62" s="273" t="inlineStr">
        <is>
          <t>Category</t>
        </is>
      </c>
      <c r="D62" s="273" t="inlineStr">
        <is>
          <t>Amount</t>
        </is>
      </c>
      <c r="E62" s="107" t="n"/>
      <c r="F62" s="107" t="n"/>
      <c r="G62" s="107" t="n"/>
      <c r="H62" s="273" t="inlineStr">
        <is>
          <t>IRC</t>
        </is>
      </c>
      <c r="I62" s="107" t="n"/>
    </row>
    <row r="63" ht="15" customHeight="1" s="104">
      <c r="B63" s="277" t="inlineStr">
        <is>
          <t>PERMANENT</t>
        </is>
      </c>
      <c r="C63" s="248" t="inlineStr">
        <is>
          <t>Meals 50% disallowed</t>
        </is>
      </c>
      <c r="D63" s="111" t="n"/>
      <c r="H63" s="256" t="inlineStr">
        <is>
          <t>Sec 274(n)</t>
        </is>
      </c>
    </row>
    <row r="64" ht="15" customHeight="1" s="104">
      <c r="C64" s="248" t="inlineStr">
        <is>
          <t>Entertainment 100%</t>
        </is>
      </c>
      <c r="D64" s="111" t="n"/>
      <c r="H64" s="256" t="inlineStr">
        <is>
          <t>Sec 274(a)(1)</t>
        </is>
      </c>
    </row>
    <row r="65" ht="15" customHeight="1" s="104">
      <c r="C65" s="248" t="inlineStr">
        <is>
          <t>Club Dues 100%</t>
        </is>
      </c>
      <c r="D65" s="111" t="n"/>
      <c r="H65" s="256" t="inlineStr">
        <is>
          <t>Sec 274(a)(3)</t>
        </is>
      </c>
    </row>
    <row r="66" ht="15" customHeight="1" s="104">
      <c r="C66" s="248" t="inlineStr">
        <is>
          <t>Penalties &amp; Fines</t>
        </is>
      </c>
      <c r="D66" s="111" t="n"/>
      <c r="H66" s="256" t="inlineStr">
        <is>
          <t>Sec 162(f)</t>
        </is>
      </c>
    </row>
    <row r="67" ht="15" customHeight="1" s="104">
      <c r="C67" s="248" t="inlineStr">
        <is>
          <t>Political Contributions</t>
        </is>
      </c>
      <c r="D67" s="111" t="n"/>
      <c r="H67" s="256" t="inlineStr">
        <is>
          <t>Sec 162(e)</t>
        </is>
      </c>
    </row>
    <row r="68" ht="15" customHeight="1" s="104">
      <c r="C68" s="248" t="inlineStr">
        <is>
          <t>Life Insurance Premiums</t>
        </is>
      </c>
      <c r="D68" s="111" t="n"/>
      <c r="H68" s="256" t="inlineStr">
        <is>
          <t>Sec 264(a)(1)</t>
        </is>
      </c>
    </row>
    <row r="69" ht="15" customHeight="1" s="104">
      <c r="C69" s="248" t="inlineStr">
        <is>
          <t>State Income/Franchise Tax</t>
        </is>
      </c>
      <c r="D69" s="111" t="n"/>
      <c r="H69" s="256" t="inlineStr">
        <is>
          <t>Sec 275(a)(4)</t>
        </is>
      </c>
    </row>
    <row r="70" ht="15" customHeight="1" s="104">
      <c r="C70" s="248" t="inlineStr">
        <is>
          <t>Tax-Exempt Interest (excluded)</t>
        </is>
      </c>
      <c r="D70" s="111" t="n"/>
      <c r="H70" s="256" t="inlineStr">
        <is>
          <t>Sec 103</t>
        </is>
      </c>
    </row>
    <row r="71" ht="15" customHeight="1" s="104">
      <c r="C71" s="248" t="inlineStr">
        <is>
          <t>COD Excluded (Sec 108)</t>
        </is>
      </c>
      <c r="D71" s="111" t="n"/>
      <c r="H71" s="256" t="inlineStr">
        <is>
          <t>Sec 108</t>
        </is>
      </c>
    </row>
    <row r="72" ht="15" customHeight="1" s="104">
      <c r="C72" s="248" t="inlineStr">
        <is>
          <t>Partner Health Ins (reclass)</t>
        </is>
      </c>
      <c r="D72" s="111" t="n"/>
      <c r="H72" s="256" t="inlineStr">
        <is>
          <t>Sec 162(l)</t>
        </is>
      </c>
    </row>
    <row r="73" ht="15" customHeight="1" s="104">
      <c r="C73" s="248" t="inlineStr">
        <is>
          <t>Charitable (reclass to K)</t>
        </is>
      </c>
      <c r="D73" s="111" t="n"/>
      <c r="H73" s="256" t="inlineStr">
        <is>
          <t>Sec 170</t>
        </is>
      </c>
    </row>
    <row r="74" ht="15" customHeight="1" s="104">
      <c r="C74" s="248" t="inlineStr">
        <is>
          <t>Investment Interest (reclass to K)</t>
        </is>
      </c>
      <c r="D74" s="111" t="n"/>
      <c r="H74" s="256" t="inlineStr">
        <is>
          <t>Sec 163(d)</t>
        </is>
      </c>
    </row>
    <row r="75" ht="15" customHeight="1" s="104">
      <c r="C75" s="257" t="inlineStr">
        <is>
          <t>Total Permanent</t>
        </is>
      </c>
      <c r="D75" s="257">
        <f>SUM(D62:D73)</f>
        <v/>
      </c>
    </row>
    <row r="76"/>
    <row r="77" ht="15" customHeight="1" s="104">
      <c r="B77" s="277" t="inlineStr">
        <is>
          <t>TEMPORARY</t>
        </is>
      </c>
      <c r="C77" s="248" t="inlineStr">
        <is>
          <t>Sec 263A UNICAP</t>
        </is>
      </c>
      <c r="D77" s="111" t="n"/>
      <c r="H77" s="256" t="inlineStr">
        <is>
          <t>Sec 263A</t>
        </is>
      </c>
    </row>
    <row r="78" ht="15" customHeight="1" s="104">
      <c r="C78" s="248" t="inlineStr">
        <is>
          <t>Sec 267 Related-Party Bonus</t>
        </is>
      </c>
      <c r="D78" s="111" t="n"/>
      <c r="H78" s="256" t="inlineStr">
        <is>
          <t>Sec 267(a)(2)</t>
        </is>
      </c>
    </row>
    <row r="79" ht="15" customHeight="1" s="104">
      <c r="C79" s="248" t="inlineStr">
        <is>
          <t>Bad Debt Reserve</t>
        </is>
      </c>
      <c r="D79" s="111" t="n"/>
      <c r="H79" s="256" t="inlineStr">
        <is>
          <t>Sec 166</t>
        </is>
      </c>
    </row>
    <row r="80" ht="15" customHeight="1" s="104">
      <c r="C80" s="248" t="inlineStr">
        <is>
          <t>Warranty Reserve</t>
        </is>
      </c>
      <c r="D80" s="111" t="n"/>
      <c r="H80" s="256" t="inlineStr">
        <is>
          <t>Sec 461(h)</t>
        </is>
      </c>
    </row>
    <row r="81" ht="15" customHeight="1" s="104">
      <c r="C81" s="248" t="inlineStr">
        <is>
          <t>Litigation Reserve</t>
        </is>
      </c>
      <c r="D81" s="111" t="n"/>
      <c r="H81" s="256" t="inlineStr">
        <is>
          <t>Sec 461(h)</t>
        </is>
      </c>
    </row>
    <row r="82" ht="15" customHeight="1" s="104">
      <c r="C82" s="248" t="inlineStr">
        <is>
          <t>Capital Improvement / Sec 179 reclass</t>
        </is>
      </c>
      <c r="D82" s="111" t="n"/>
      <c r="H82" s="256" t="inlineStr">
        <is>
          <t>Sec 179/263</t>
        </is>
      </c>
    </row>
    <row r="83" ht="15" customHeight="1" s="104">
      <c r="C83" s="248" t="inlineStr">
        <is>
          <t>Goodwill Amort Diff</t>
        </is>
      </c>
      <c r="D83" s="111" t="n"/>
      <c r="H83" s="256" t="inlineStr">
        <is>
          <t>Sec 197</t>
        </is>
      </c>
    </row>
    <row r="84" ht="15" customHeight="1" s="104">
      <c r="C84" s="248" t="inlineStr">
        <is>
          <t>Patent Amort Diff</t>
        </is>
      </c>
      <c r="D84" s="111" t="n"/>
      <c r="H84" s="256" t="inlineStr">
        <is>
          <t>Sec 197</t>
        </is>
      </c>
    </row>
    <row r="85" ht="15" customHeight="1" s="104">
      <c r="C85" s="248" t="inlineStr">
        <is>
          <t>Depreciation MACRS &gt; Book</t>
        </is>
      </c>
      <c r="D85" s="111" t="n"/>
      <c r="H85" s="256" t="inlineStr">
        <is>
          <t>Sec 168</t>
        </is>
      </c>
    </row>
    <row r="86" ht="15" customHeight="1" s="104">
      <c r="C86" s="248" t="inlineStr">
        <is>
          <t>Rental MACRS &gt; Book</t>
        </is>
      </c>
      <c r="D86" s="111" t="n"/>
      <c r="H86" s="256" t="inlineStr">
        <is>
          <t>Sec 168</t>
        </is>
      </c>
    </row>
    <row r="87" ht="15" customHeight="1" s="104">
      <c r="C87" s="248" t="inlineStr">
        <is>
          <t>Sec 179 Deduction (not on books)</t>
        </is>
      </c>
      <c r="D87" s="111" t="n"/>
      <c r="H87" s="256" t="inlineStr">
        <is>
          <t>Sec 179</t>
        </is>
      </c>
    </row>
    <row r="88" ht="15" customHeight="1" s="104">
      <c r="C88" s="248" t="inlineStr">
        <is>
          <t>Sec 1245 Recapture</t>
        </is>
      </c>
      <c r="D88" s="111" t="n"/>
      <c r="H88" s="256" t="inlineStr">
        <is>
          <t>Sec 1245</t>
        </is>
      </c>
    </row>
    <row r="89" ht="15" customHeight="1" s="104">
      <c r="C89" s="248" t="inlineStr">
        <is>
          <t>Guaranteed Payments Reclass</t>
        </is>
      </c>
      <c r="D89" s="111" t="n"/>
      <c r="H89" s="256" t="inlineStr">
        <is>
          <t>Sec 707(c)</t>
        </is>
      </c>
    </row>
    <row r="90" ht="15" customHeight="1" s="104">
      <c r="C90" s="257" t="inlineStr">
        <is>
          <t>Total Temporary</t>
        </is>
      </c>
      <c r="D90" s="257">
        <f>SUM(D76:D88)</f>
        <v/>
      </c>
    </row>
    <row r="91"/>
    <row r="92" ht="15" customHeight="1" s="104">
      <c r="C92" s="257" t="inlineStr">
        <is>
          <t>Total Temp + Perm Differences</t>
        </is>
      </c>
      <c r="D92" s="257">
        <f>E56+F56</f>
        <v/>
      </c>
    </row>
    <row r="93" ht="15" customHeight="1" s="104">
      <c r="C93" s="257" t="inlineStr">
        <is>
          <t>Tax Income - Book Income</t>
        </is>
      </c>
      <c r="D93" s="257">
        <f>'Working Trial Balance'!H82-'Working Trial Balance'!D94</f>
        <v/>
      </c>
    </row>
    <row r="94" ht="15" customHeight="1" s="104">
      <c r="A94" s="147" t="n"/>
      <c r="B94" s="147" t="n"/>
      <c r="C94" s="258" t="inlineStr">
        <is>
          <t>DIFFERENCE (should be ZERO)</t>
        </is>
      </c>
      <c r="D94" s="258">
        <f>D92-D93</f>
        <v/>
      </c>
      <c r="E94" s="147" t="n"/>
      <c r="F94" s="147" t="n"/>
      <c r="G94" s="147" t="n"/>
      <c r="H94" s="147" t="n"/>
      <c r="I94" s="147" t="n"/>
    </row>
    <row r="95" ht="39.75" customHeight="1" s="104">
      <c r="A95" s="103" t="n"/>
    </row>
    <row r="96" ht="429" customHeight="1" s="104">
      <c r="A96" s="219" t="inlineStr">
        <is>
          <t>NOTE: Schedule M-3 required if: (a) total assets &gt;= $10M, (b) 250+ K-1s, or (c) voluntary election. This workpaper serves as a detailed book-to-tax bridge in M-3 format for any client. Hide rows for items that don't apply.</t>
        </is>
      </c>
      <c r="B96" s="283" t="n"/>
      <c r="C96" s="283" t="n"/>
      <c r="D96" s="283" t="n"/>
      <c r="E96" s="283" t="n"/>
      <c r="F96" s="283" t="n"/>
      <c r="G96" s="283" t="n"/>
      <c r="H96" s="283" t="n"/>
      <c r="I96" s="283" t="n"/>
    </row>
  </sheetData>
  <mergeCells count="4">
    <mergeCell ref="A1:I1"/>
    <mergeCell ref="A2:I2"/>
    <mergeCell ref="A95:I95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65911"/>
    <outlinePr summaryBelow="1" summaryRight="1"/>
    <pageSetUpPr fitToPage="0"/>
  </sheetPr>
  <dimension ref="A1:L1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03" min="1" max="1"/>
    <col width="14" customWidth="1" style="103" min="2" max="2"/>
    <col width="14" customWidth="1" style="103" min="3" max="3"/>
    <col width="14" customWidth="1" style="103" min="4" max="4"/>
    <col width="14" customWidth="1" style="103" min="5" max="5"/>
    <col width="14" customWidth="1" style="103" min="6" max="6"/>
    <col width="14" customWidth="1" style="103" min="7" max="7"/>
    <col width="14" customWidth="1" style="103" min="8" max="8"/>
    <col width="14" customWidth="1" style="103" min="9" max="9"/>
    <col width="14" customWidth="1" style="103" min="10" max="11"/>
    <col width="14" customWidth="1" style="104" min="11" max="11"/>
    <col width="14" customWidth="1" style="103" min="12" max="12"/>
  </cols>
  <sheetData>
    <row r="1" ht="27.75" customHeight="1" s="104">
      <c r="A1" s="242" t="inlineStr">
        <is>
          <t>[ENTITY NAME] — BOOK-TO-TAX ADJUSTMENTS WORKPAPER</t>
        </is>
      </c>
    </row>
    <row r="2" ht="15" customHeight="1" s="104">
      <c r="A2" s="285" t="inlineStr">
        <is>
          <t>EIN: [XX-XXXXXXX]  |  Tax Year Ended: [MM/DD/YYYY]  |  Form 1065</t>
        </is>
      </c>
    </row>
    <row r="3" ht="18" customHeight="1" s="104">
      <c r="A3" s="285" t="inlineStr">
        <is>
          <t>LEGEND:  Blue font = Manual entry from PBC / depr schedule  |  Gold fill = Linked to WTB  |  Green = Auto-calculated  |  Red = Prior year / manually enter</t>
        </is>
      </c>
    </row>
    <row r="4"/>
    <row r="5" ht="24" customHeight="1" s="104">
      <c r="A5" s="286" t="inlineStr">
        <is>
          <t>SECTION A — BOOK-TO-TAX ADJUSTMENTS CHECKLIST</t>
        </is>
      </c>
      <c r="B5" s="270" t="n"/>
      <c r="C5" s="270" t="n"/>
      <c r="D5" s="270" t="n"/>
      <c r="E5" s="270" t="n"/>
      <c r="F5" s="270" t="n"/>
      <c r="G5" s="270" t="n"/>
      <c r="H5" s="270" t="n"/>
      <c r="I5" s="270" t="n"/>
      <c r="J5" s="270" t="n"/>
      <c r="K5" s="270" t="n"/>
      <c r="L5" s="270" t="n"/>
    </row>
    <row r="6" ht="15" customHeight="1" s="104">
      <c r="A6" s="285" t="inlineStr">
        <is>
          <t>Review each category below. Enter book amounts and adjustments. Tax amount auto-calculates. Hide rows that do not apply to this client.</t>
        </is>
      </c>
    </row>
    <row r="7"/>
    <row r="8" ht="15" customHeight="1" s="104">
      <c r="A8" s="287" t="inlineStr">
        <is>
          <t>AJE#</t>
        </is>
      </c>
      <c r="B8" s="288" t="inlineStr">
        <is>
          <t>Category</t>
        </is>
      </c>
      <c r="C8" s="288" t="inlineStr">
        <is>
          <t>Description / What to Look For</t>
        </is>
      </c>
      <c r="D8" s="288" t="inlineStr">
        <is>
          <t>IRC Section</t>
        </is>
      </c>
      <c r="E8" s="288" t="inlineStr">
        <is>
          <t>WTB Row</t>
        </is>
      </c>
      <c r="F8" s="288" t="inlineStr">
        <is>
          <t>Book Amount</t>
        </is>
      </c>
      <c r="G8" s="288" t="inlineStr">
        <is>
          <t>Adjustment (+/-)</t>
        </is>
      </c>
      <c r="H8" s="288" t="inlineStr">
        <is>
          <t>Tax Amount</t>
        </is>
      </c>
      <c r="I8" s="288" t="inlineStr">
        <is>
          <t>Perm / Temp</t>
        </is>
      </c>
      <c r="J8" s="288" t="inlineStr">
        <is>
          <t>M-1 Line</t>
        </is>
      </c>
      <c r="K8" s="288" t="inlineStr">
        <is>
          <t>K Line</t>
        </is>
      </c>
      <c r="L8" s="288" t="inlineStr">
        <is>
          <t>Preparer Notes / Status</t>
        </is>
      </c>
    </row>
    <row r="9" ht="21.75" customHeight="1" s="104">
      <c r="A9" s="234" t="inlineStr">
        <is>
          <t>INCOME ADJUSTMENTS</t>
        </is>
      </c>
      <c r="B9" s="289" t="n"/>
      <c r="C9" s="289" t="n"/>
      <c r="D9" s="289" t="n"/>
      <c r="E9" s="289" t="n"/>
      <c r="F9" s="289" t="n"/>
      <c r="G9" s="289" t="n"/>
      <c r="H9" s="289" t="n"/>
      <c r="I9" s="289" t="n"/>
      <c r="J9" s="289" t="n"/>
      <c r="K9" s="289" t="n"/>
      <c r="L9" s="290" t="n"/>
    </row>
    <row r="10" ht="36" customHeight="1" s="104">
      <c r="A10" s="291" t="inlineStr">
        <is>
          <t>AJE-01</t>
        </is>
      </c>
      <c r="B10" s="292" t="inlineStr">
        <is>
          <t>Depreciation — MACRS vs Book</t>
        </is>
      </c>
      <c r="C10" s="293" t="inlineStr">
        <is>
          <t>Compare book depreciation to tax MACRS. Excess MACRS over book increases tax deduction. Get from depreciation schedule.</t>
        </is>
      </c>
      <c r="D10" s="256" t="inlineStr">
        <is>
          <t>§167/168</t>
        </is>
      </c>
      <c r="E10" s="256" t="inlineStr">
        <is>
          <t>44 (P1 L16a)</t>
        </is>
      </c>
      <c r="F10" s="294">
        <f>'Working Trial Balance'!D44</f>
        <v/>
      </c>
      <c r="G10" s="294">
        <f>'Working Trial Balance'!F44</f>
        <v/>
      </c>
      <c r="H10" s="294">
        <f>'Working Trial Balance'!H44</f>
        <v/>
      </c>
      <c r="I10" s="295" t="inlineStr">
        <is>
          <t>Temp</t>
        </is>
      </c>
      <c r="J10" s="295" t="inlineStr">
        <is>
          <t>4a / 7</t>
        </is>
      </c>
      <c r="K10" s="177" t="n"/>
      <c r="L10" s="296" t="inlineStr">
        <is>
          <t>Enter MACRS from tax depr schedule. Verify assets placed-in-service dates.</t>
        </is>
      </c>
    </row>
    <row r="11" ht="36" customHeight="1" s="104">
      <c r="A11" s="291" t="inlineStr">
        <is>
          <t>AJE-02</t>
        </is>
      </c>
      <c r="B11" s="292" t="inlineStr">
        <is>
          <t>Sec 179 Expense Election</t>
        </is>
      </c>
      <c r="C11" s="293" t="inlineStr">
        <is>
          <t>Capital items expensed under Sec 179. Reclassify book expense to asset, then elect Sec 179 on K-1.</t>
        </is>
      </c>
      <c r="D11" s="256" t="inlineStr">
        <is>
          <t>§179</t>
        </is>
      </c>
      <c r="E11" s="256" t="inlineStr">
        <is>
          <t>61 (sub-line) / 84 (K L12)</t>
        </is>
      </c>
      <c r="F11" s="294">
        <f>'Working Trial Balance'!D61</f>
        <v/>
      </c>
      <c r="G11" s="294">
        <f>-'Working Trial Balance'!G61</f>
        <v/>
      </c>
      <c r="H11" s="294">
        <f>'Working Trial Balance'!H61</f>
        <v/>
      </c>
      <c r="I11" s="295" t="inlineStr">
        <is>
          <t>Temp</t>
        </is>
      </c>
      <c r="J11" s="295" t="inlineStr">
        <is>
          <t>7</t>
        </is>
      </c>
      <c r="K11" s="295" t="inlineStr">
        <is>
          <t>K 12</t>
        </is>
      </c>
      <c r="L11" s="296" t="inlineStr">
        <is>
          <t>Book expensed $35K. Tax: remove from P1 deductions, elect Sec 179 on K Line 12. Partner applies own limit.</t>
        </is>
      </c>
    </row>
    <row r="12" ht="36" customHeight="1" s="104">
      <c r="A12" s="291" t="inlineStr">
        <is>
          <t>AJE-03</t>
        </is>
      </c>
      <c r="B12" s="292" t="inlineStr">
        <is>
          <t>Sec 1245 Ordinary Recapture</t>
        </is>
      </c>
      <c r="C12" s="293" t="inlineStr">
        <is>
          <t>On asset dispositions, recapture gain attributable to depreciation as ordinary income (Form 4797).</t>
        </is>
      </c>
      <c r="D12" s="256" t="inlineStr">
        <is>
          <t>§1245</t>
        </is>
      </c>
      <c r="E12" s="256" t="inlineStr">
        <is>
          <t>33 (P1 L6)</t>
        </is>
      </c>
      <c r="F12" s="294">
        <f>'Working Trial Balance'!D33</f>
        <v/>
      </c>
      <c r="G12" s="294">
        <f>'Working Trial Balance'!F33</f>
        <v/>
      </c>
      <c r="H12" s="294">
        <f>'Working Trial Balance'!H33</f>
        <v/>
      </c>
      <c r="I12" s="295" t="inlineStr">
        <is>
          <t>Temp</t>
        </is>
      </c>
      <c r="J12" s="295" t="inlineStr">
        <is>
          <t>2</t>
        </is>
      </c>
      <c r="K12" s="177" t="n"/>
      <c r="L12" s="296" t="inlineStr">
        <is>
          <t>Analyze each disposition. Recapture = lesser of gain or total depr taken.</t>
        </is>
      </c>
    </row>
    <row r="13" ht="36" customHeight="1" s="104">
      <c r="A13" s="291" t="inlineStr">
        <is>
          <t>AJE-04</t>
        </is>
      </c>
      <c r="B13" s="292" t="inlineStr">
        <is>
          <t>Sec 1231 Gain Reclassification</t>
        </is>
      </c>
      <c r="C13" s="293" t="inlineStr">
        <is>
          <t>Remaining gain on business property held &gt;1yr after Sec 1245 recapture. Separately stated on K.</t>
        </is>
      </c>
      <c r="D13" s="256" t="inlineStr">
        <is>
          <t>§1231</t>
        </is>
      </c>
      <c r="E13" s="256" t="inlineStr">
        <is>
          <t>80 (K L10)</t>
        </is>
      </c>
      <c r="F13" s="294">
        <f>'Working Trial Balance'!D80</f>
        <v/>
      </c>
      <c r="G13" s="294">
        <f>-'Working Trial Balance'!G80</f>
        <v/>
      </c>
      <c r="H13" s="294">
        <f>'Working Trial Balance'!H80</f>
        <v/>
      </c>
      <c r="I13" s="295" t="inlineStr">
        <is>
          <t>N/A</t>
        </is>
      </c>
      <c r="J13" s="177" t="n"/>
      <c r="K13" s="295" t="inlineStr">
        <is>
          <t>K 10</t>
        </is>
      </c>
      <c r="L13" s="296" t="inlineStr">
        <is>
          <t>Check 5-yr lookback for prior Sec 1231 losses.</t>
        </is>
      </c>
    </row>
    <row r="14" ht="36" customHeight="1" s="104">
      <c r="A14" s="291" t="inlineStr">
        <is>
          <t>AJE-05</t>
        </is>
      </c>
      <c r="B14" s="292" t="inlineStr">
        <is>
          <t>COD Income Exclusion (Insolvency)</t>
        </is>
      </c>
      <c r="C14" s="293" t="inlineStr">
        <is>
          <t>Cancellation of debt income excluded under Sec 108 if partnership was insolvent at time of discharge.</t>
        </is>
      </c>
      <c r="D14" s="256" t="inlineStr">
        <is>
          <t>§108</t>
        </is>
      </c>
      <c r="E14" s="256" t="inlineStr">
        <is>
          <t>34 (P1 L7)</t>
        </is>
      </c>
      <c r="F14" s="294">
        <f>'Working Trial Balance'!D34</f>
        <v/>
      </c>
      <c r="G14" s="294">
        <f>-'Working Trial Balance'!G34</f>
        <v/>
      </c>
      <c r="H14" s="294">
        <f>'Working Trial Balance'!H34</f>
        <v/>
      </c>
      <c r="I14" s="295" t="inlineStr">
        <is>
          <t>Perm</t>
        </is>
      </c>
      <c r="J14" s="295" t="inlineStr">
        <is>
          <t>6</t>
        </is>
      </c>
      <c r="K14" s="177" t="n"/>
      <c r="L14" s="296" t="inlineStr">
        <is>
          <t>File Form 982. Reduce tax attributes. Get insolvency documentation.</t>
        </is>
      </c>
    </row>
    <row r="15" ht="36" customHeight="1" s="104">
      <c r="A15" s="291" t="inlineStr">
        <is>
          <t>AJE-06</t>
        </is>
      </c>
      <c r="B15" s="292" t="inlineStr">
        <is>
          <t>Rental Real Estate — Depr Diff</t>
        </is>
      </c>
      <c r="C15" s="293" t="inlineStr">
        <is>
          <t>Rental property depreciation difference. Tax depreciation on rental assets vs book.</t>
        </is>
      </c>
      <c r="D15" s="256" t="inlineStr">
        <is>
          <t>§167/168</t>
        </is>
      </c>
      <c r="E15" s="256" t="inlineStr">
        <is>
          <t>71 (K L2)</t>
        </is>
      </c>
      <c r="F15" s="294">
        <f>'Working Trial Balance'!D71</f>
        <v/>
      </c>
      <c r="G15" s="294">
        <f>'Working Trial Balance'!F71</f>
        <v/>
      </c>
      <c r="H15" s="294">
        <f>'Working Trial Balance'!H71</f>
        <v/>
      </c>
      <c r="I15" s="295" t="inlineStr">
        <is>
          <t>Temp</t>
        </is>
      </c>
      <c r="J15" s="295" t="inlineStr">
        <is>
          <t>7</t>
        </is>
      </c>
      <c r="K15" s="295" t="inlineStr">
        <is>
          <t>K 2</t>
        </is>
      </c>
      <c r="L15" s="296" t="inlineStr">
        <is>
          <t>Separate depreciation schedule for rental property.</t>
        </is>
      </c>
    </row>
    <row r="16" ht="21.75" customHeight="1" s="104">
      <c r="A16" s="297" t="inlineStr">
        <is>
          <t>DEDUCTION ADJUSTMENTS — TIMING (TEMPORARY)</t>
        </is>
      </c>
      <c r="B16" s="169" t="n"/>
      <c r="C16" s="169" t="n"/>
      <c r="D16" s="169" t="n"/>
      <c r="E16" s="169" t="n"/>
      <c r="F16" s="169" t="n"/>
      <c r="G16" s="169" t="n"/>
      <c r="H16" s="169" t="n"/>
      <c r="I16" s="169" t="n"/>
      <c r="J16" s="169" t="n"/>
      <c r="K16" s="169" t="n"/>
      <c r="L16" s="170" t="n"/>
    </row>
    <row r="17" ht="36" customHeight="1" s="104">
      <c r="A17" s="291" t="inlineStr">
        <is>
          <t>AJE-07</t>
        </is>
      </c>
      <c r="B17" s="292" t="inlineStr">
        <is>
          <t>Sec 263A — UNICAP Adjustment</t>
        </is>
      </c>
      <c r="C17" s="293" t="inlineStr">
        <is>
          <t>Uniform capitalization — additional costs capitalized into inventory for tax. Compare COGS with/without UNICAP.</t>
        </is>
      </c>
      <c r="D17" s="256" t="inlineStr">
        <is>
          <t>§263A</t>
        </is>
      </c>
      <c r="E17" s="256" t="inlineStr">
        <is>
          <t>8 (L L3-5)</t>
        </is>
      </c>
      <c r="F17" s="294">
        <f>'Working Trial Balance'!D8</f>
        <v/>
      </c>
      <c r="G17" s="294">
        <f>'Working Trial Balance'!F8</f>
        <v/>
      </c>
      <c r="H17" s="294">
        <f>'Working Trial Balance'!H8</f>
        <v/>
      </c>
      <c r="I17" s="295" t="inlineStr">
        <is>
          <t>Temp</t>
        </is>
      </c>
      <c r="J17" s="295" t="inlineStr">
        <is>
          <t>4c</t>
        </is>
      </c>
      <c r="K17" s="177" t="n"/>
      <c r="L17" s="296" t="inlineStr">
        <is>
          <t>Required if avg gross receipts &gt;$29M (2025). Calculate using simplified method.</t>
        </is>
      </c>
    </row>
    <row r="18" ht="36" customHeight="1" s="104">
      <c r="A18" s="291" t="inlineStr">
        <is>
          <t>AJE-08</t>
        </is>
      </c>
      <c r="B18" s="292" t="inlineStr">
        <is>
          <t>Sec 267 — Related Party Accrued Expenses</t>
        </is>
      </c>
      <c r="C18" s="293" t="inlineStr">
        <is>
          <t>Accrued expenses to related parties (&gt;50% ownership) not deductible until paid. Check if paid within 2.5 months.</t>
        </is>
      </c>
      <c r="D18" s="256" t="inlineStr">
        <is>
          <t>§267</t>
        </is>
      </c>
      <c r="E18" s="256" t="inlineStr">
        <is>
          <t>37 (P1 L9)</t>
        </is>
      </c>
      <c r="F18" s="294">
        <f>'Working Trial Balance'!D37</f>
        <v/>
      </c>
      <c r="G18" s="294">
        <f>-'Working Trial Balance'!G37</f>
        <v/>
      </c>
      <c r="H18" s="294">
        <f>'Working Trial Balance'!H37</f>
        <v/>
      </c>
      <c r="I18" s="295" t="inlineStr">
        <is>
          <t>Temp</t>
        </is>
      </c>
      <c r="J18" s="295" t="inlineStr">
        <is>
          <t>4c</t>
        </is>
      </c>
      <c r="K18" s="177" t="n"/>
      <c r="L18" s="296" t="inlineStr">
        <is>
          <t>Review AP aging for partner/related-party payables. Reverses when paid.</t>
        </is>
      </c>
    </row>
    <row r="19" ht="36" customHeight="1" s="104">
      <c r="A19" s="291" t="inlineStr">
        <is>
          <t>AJE-09</t>
        </is>
      </c>
      <c r="B19" s="292" t="inlineStr">
        <is>
          <t>Bad Debt Reserve vs Specific Charge-Off</t>
        </is>
      </c>
      <c r="C19" s="293" t="inlineStr">
        <is>
          <t>Book reserve method not allowed for tax. Only specific charge-offs when debt becomes worthless.</t>
        </is>
      </c>
      <c r="D19" s="256" t="inlineStr">
        <is>
          <t>§166</t>
        </is>
      </c>
      <c r="E19" s="256" t="inlineStr">
        <is>
          <t>40 (P1 L12)</t>
        </is>
      </c>
      <c r="F19" s="294">
        <f>'Working Trial Balance'!D40</f>
        <v/>
      </c>
      <c r="G19" s="294">
        <f>-'Working Trial Balance'!G40</f>
        <v/>
      </c>
      <c r="H19" s="294">
        <f>'Working Trial Balance'!H40</f>
        <v/>
      </c>
      <c r="I19" s="295" t="inlineStr">
        <is>
          <t>Temp</t>
        </is>
      </c>
      <c r="J19" s="295" t="inlineStr">
        <is>
          <t>4c</t>
        </is>
      </c>
      <c r="K19" s="177" t="n"/>
      <c r="L19" s="296" t="inlineStr">
        <is>
          <t>Identify actual write-offs during year. Reserve reverses as accounts are collected/written off.</t>
        </is>
      </c>
    </row>
    <row r="20" ht="36" customHeight="1" s="104">
      <c r="A20" s="291" t="inlineStr">
        <is>
          <t>AJE-10</t>
        </is>
      </c>
      <c r="B20" s="292" t="inlineStr">
        <is>
          <t>Warranty Reserve</t>
        </is>
      </c>
      <c r="C20" s="293" t="inlineStr">
        <is>
          <t>Book accrual for estimated warranty costs. Tax: deductible only when economic performance occurs (claims paid).</t>
        </is>
      </c>
      <c r="D20" s="256" t="inlineStr">
        <is>
          <t>§461(h)</t>
        </is>
      </c>
      <c r="E20" s="256" t="inlineStr">
        <is>
          <t>58 (sub-line)</t>
        </is>
      </c>
      <c r="F20" s="294">
        <f>'Working Trial Balance'!D58</f>
        <v/>
      </c>
      <c r="G20" s="294">
        <f>-'Working Trial Balance'!G58</f>
        <v/>
      </c>
      <c r="H20" s="294">
        <f>'Working Trial Balance'!H58</f>
        <v/>
      </c>
      <c r="I20" s="295" t="inlineStr">
        <is>
          <t>Temp</t>
        </is>
      </c>
      <c r="J20" s="295" t="inlineStr">
        <is>
          <t>4c</t>
        </is>
      </c>
      <c r="K20" s="177" t="n"/>
      <c r="L20" s="296" t="inlineStr">
        <is>
          <t>Get actual warranty claims paid. Temporary — reverses as claims settle.</t>
        </is>
      </c>
    </row>
    <row r="21" ht="36" customHeight="1" s="104">
      <c r="A21" s="291" t="inlineStr">
        <is>
          <t>AJE-11</t>
        </is>
      </c>
      <c r="B21" s="292" t="inlineStr">
        <is>
          <t>Litigation Reserve / Contingent Liabilities</t>
        </is>
      </c>
      <c r="C21" s="293" t="inlineStr">
        <is>
          <t>Book accrual for probable litigation losses. Tax: not deductible until all-events test met and economic performance.</t>
        </is>
      </c>
      <c r="D21" s="256" t="inlineStr">
        <is>
          <t>§461(h)</t>
        </is>
      </c>
      <c r="E21" s="256" t="inlineStr">
        <is>
          <t>59 (sub-line)</t>
        </is>
      </c>
      <c r="F21" s="294">
        <f>'Working Trial Balance'!D59</f>
        <v/>
      </c>
      <c r="G21" s="294">
        <f>-'Working Trial Balance'!G59</f>
        <v/>
      </c>
      <c r="H21" s="294">
        <f>'Working Trial Balance'!H59</f>
        <v/>
      </c>
      <c r="I21" s="295" t="inlineStr">
        <is>
          <t>Temp</t>
        </is>
      </c>
      <c r="J21" s="295" t="inlineStr">
        <is>
          <t>4c</t>
        </is>
      </c>
      <c r="K21" s="177" t="n"/>
      <c r="L21" s="296" t="inlineStr">
        <is>
          <t>Review legal correspondence. Settlement or judgment triggers deduction.</t>
        </is>
      </c>
    </row>
    <row r="22" ht="36" customHeight="1" s="104">
      <c r="A22" s="291" t="inlineStr">
        <is>
          <t>AJE-12</t>
        </is>
      </c>
      <c r="B22" s="292" t="inlineStr">
        <is>
          <t>Allowance for Doubtful Accounts (B/S)</t>
        </is>
      </c>
      <c r="C22" s="293" t="inlineStr">
        <is>
          <t>Book reserve against A/R. Tax: add back to assets (reserve method not allowed).</t>
        </is>
      </c>
      <c r="D22" s="256" t="inlineStr">
        <is>
          <t>§166</t>
        </is>
      </c>
      <c r="E22" s="256" t="inlineStr">
        <is>
          <t>7 (L L1-2)</t>
        </is>
      </c>
      <c r="F22" s="294">
        <f>'Working Trial Balance'!D7</f>
        <v/>
      </c>
      <c r="G22" s="294">
        <f>'Working Trial Balance'!F7</f>
        <v/>
      </c>
      <c r="H22" s="294">
        <f>'Working Trial Balance'!H7</f>
        <v/>
      </c>
      <c r="I22" s="295" t="inlineStr">
        <is>
          <t>Temp</t>
        </is>
      </c>
      <c r="J22" s="177" t="n"/>
      <c r="K22" s="177" t="n"/>
      <c r="L22" s="296" t="inlineStr">
        <is>
          <t>B/S only adjustment. Affects tax basis of receivables. Cross-ref AJE-09.</t>
        </is>
      </c>
    </row>
    <row r="23" ht="36" customHeight="1" s="104">
      <c r="A23" s="291" t="inlineStr">
        <is>
          <t>AJE-13</t>
        </is>
      </c>
      <c r="B23" s="292" t="inlineStr">
        <is>
          <t>Goodwill Amortization (Book 10yr vs Tax 15yr)</t>
        </is>
      </c>
      <c r="C23" s="293" t="inlineStr">
        <is>
          <t>Book amortizes goodwill over useful life (often 10yr). Tax: Sec 197 requires 15-year straight-line.</t>
        </is>
      </c>
      <c r="D23" s="256" t="inlineStr">
        <is>
          <t>§197</t>
        </is>
      </c>
      <c r="E23" s="256" t="inlineStr">
        <is>
          <t>62 (sub-line)</t>
        </is>
      </c>
      <c r="F23" s="294">
        <f>'Working Trial Balance'!D62</f>
        <v/>
      </c>
      <c r="G23" s="294">
        <f>-'Working Trial Balance'!G62</f>
        <v/>
      </c>
      <c r="H23" s="294">
        <f>'Working Trial Balance'!H62</f>
        <v/>
      </c>
      <c r="I23" s="295" t="inlineStr">
        <is>
          <t>Temp</t>
        </is>
      </c>
      <c r="J23" s="295" t="inlineStr">
        <is>
          <t>4a</t>
        </is>
      </c>
      <c r="K23" s="177" t="n"/>
      <c r="L23" s="296" t="inlineStr">
        <is>
          <t>Calculate: Cost / 180 months × months. Compare to book amort.</t>
        </is>
      </c>
    </row>
    <row r="24" ht="36" customHeight="1" s="104">
      <c r="A24" s="291" t="inlineStr">
        <is>
          <t>AJE-14</t>
        </is>
      </c>
      <c r="B24" s="292" t="inlineStr">
        <is>
          <t>Patent/Intangible Amortization (Book vs Tax)</t>
        </is>
      </c>
      <c r="C24" s="293" t="inlineStr">
        <is>
          <t>Patents and other Sec 197 intangibles. Book life may differ from 15-year tax amortization.</t>
        </is>
      </c>
      <c r="D24" s="256" t="inlineStr">
        <is>
          <t>§197</t>
        </is>
      </c>
      <c r="E24" s="256" t="inlineStr">
        <is>
          <t>63 (sub-line)</t>
        </is>
      </c>
      <c r="F24" s="294">
        <f>'Working Trial Balance'!D63</f>
        <v/>
      </c>
      <c r="G24" s="294">
        <f>-'Working Trial Balance'!G63</f>
        <v/>
      </c>
      <c r="H24" s="294">
        <f>'Working Trial Balance'!H63</f>
        <v/>
      </c>
      <c r="I24" s="295" t="inlineStr">
        <is>
          <t>Temp</t>
        </is>
      </c>
      <c r="J24" s="295" t="inlineStr">
        <is>
          <t>4a</t>
        </is>
      </c>
      <c r="K24" s="177" t="n"/>
      <c r="L24" s="296" t="inlineStr">
        <is>
          <t>Same 15-yr rule applies. Calculate monthly amort × months.</t>
        </is>
      </c>
    </row>
    <row r="25" ht="21.75" customHeight="1" s="104">
      <c r="A25" s="297" t="inlineStr">
        <is>
          <t>DEDUCTION ADJUSTMENTS — PERMANENT</t>
        </is>
      </c>
      <c r="B25" s="169" t="n"/>
      <c r="C25" s="169" t="n"/>
      <c r="D25" s="169" t="n"/>
      <c r="E25" s="169" t="n"/>
      <c r="F25" s="169" t="n"/>
      <c r="G25" s="169" t="n"/>
      <c r="H25" s="169" t="n"/>
      <c r="I25" s="169" t="n"/>
      <c r="J25" s="169" t="n"/>
      <c r="K25" s="169" t="n"/>
      <c r="L25" s="170" t="n"/>
    </row>
    <row r="26" ht="36" customHeight="1" s="104">
      <c r="A26" s="291" t="inlineStr">
        <is>
          <t>AJE-15</t>
        </is>
      </c>
      <c r="B26" s="292" t="inlineStr">
        <is>
          <t>Meals — 50% Limitation</t>
        </is>
      </c>
      <c r="C26" s="293" t="inlineStr">
        <is>
          <t>Business meals deductible at 50%. Identify total meals expense and disallow half.</t>
        </is>
      </c>
      <c r="D26" s="256" t="inlineStr">
        <is>
          <t>§274(n)</t>
        </is>
      </c>
      <c r="E26" s="256" t="inlineStr">
        <is>
          <t>51 (sub-line)</t>
        </is>
      </c>
      <c r="F26" s="294">
        <f>'Working Trial Balance'!D51</f>
        <v/>
      </c>
      <c r="G26" s="294">
        <f>-'Working Trial Balance'!G51</f>
        <v/>
      </c>
      <c r="H26" s="294">
        <f>'Working Trial Balance'!H51</f>
        <v/>
      </c>
      <c r="I26" s="295" t="inlineStr">
        <is>
          <t>Perm</t>
        </is>
      </c>
      <c r="J26" s="295" t="inlineStr">
        <is>
          <t>4b</t>
        </is>
      </c>
      <c r="K26" s="295" t="inlineStr">
        <is>
          <t>K 18c</t>
        </is>
      </c>
      <c r="L26" s="296" t="inlineStr">
        <is>
          <t>Verify meals vs entertainment classification. Must have business purpose documented.</t>
        </is>
      </c>
    </row>
    <row r="27" ht="36" customHeight="1" s="104">
      <c r="A27" s="291" t="inlineStr">
        <is>
          <t>AJE-16</t>
        </is>
      </c>
      <c r="B27" s="292" t="inlineStr">
        <is>
          <t>Entertainment — 100% Nondeductible</t>
        </is>
      </c>
      <c r="C27" s="293" t="inlineStr">
        <is>
          <t>Entertainment expenses fully nondeductible post-TCJA. Includes sporting events, theater, etc.</t>
        </is>
      </c>
      <c r="D27" s="256" t="inlineStr">
        <is>
          <t>§274(a)</t>
        </is>
      </c>
      <c r="E27" s="256" t="inlineStr">
        <is>
          <t>52 (sub-line)</t>
        </is>
      </c>
      <c r="F27" s="294">
        <f>'Working Trial Balance'!D52</f>
        <v/>
      </c>
      <c r="G27" s="294">
        <f>-'Working Trial Balance'!G52</f>
        <v/>
      </c>
      <c r="H27" s="294">
        <f>'Working Trial Balance'!H52</f>
        <v/>
      </c>
      <c r="I27" s="295" t="inlineStr">
        <is>
          <t>Perm</t>
        </is>
      </c>
      <c r="J27" s="295" t="inlineStr">
        <is>
          <t>4b</t>
        </is>
      </c>
      <c r="K27" s="295" t="inlineStr">
        <is>
          <t>K 18c</t>
        </is>
      </c>
      <c r="L27" s="296" t="inlineStr">
        <is>
          <t>Confirm proper classification. Entertainment ≠ meals.</t>
        </is>
      </c>
    </row>
    <row r="28" ht="36" customHeight="1" s="104">
      <c r="A28" s="291" t="inlineStr">
        <is>
          <t>AJE-17</t>
        </is>
      </c>
      <c r="B28" s="292" t="inlineStr">
        <is>
          <t>Club Dues — Nondeductible</t>
        </is>
      </c>
      <c r="C28" s="293" t="inlineStr">
        <is>
          <t>Country club, social club, athletic club dues. Fully nondeductible regardless of business use.</t>
        </is>
      </c>
      <c r="D28" s="256" t="inlineStr">
        <is>
          <t>§274(a)(3)</t>
        </is>
      </c>
      <c r="E28" s="256" t="inlineStr">
        <is>
          <t>53 (sub-line)</t>
        </is>
      </c>
      <c r="F28" s="294">
        <f>'Working Trial Balance'!D53</f>
        <v/>
      </c>
      <c r="G28" s="294">
        <f>-'Working Trial Balance'!G53</f>
        <v/>
      </c>
      <c r="H28" s="294">
        <f>'Working Trial Balance'!H53</f>
        <v/>
      </c>
      <c r="I28" s="295" t="inlineStr">
        <is>
          <t>Perm</t>
        </is>
      </c>
      <c r="J28" s="295" t="inlineStr">
        <is>
          <t>4c</t>
        </is>
      </c>
      <c r="K28" s="295" t="inlineStr">
        <is>
          <t>K 18c</t>
        </is>
      </c>
      <c r="L28" s="178" t="n"/>
    </row>
    <row r="29" ht="36" customHeight="1" s="104">
      <c r="A29" s="291" t="inlineStr">
        <is>
          <t>AJE-18</t>
        </is>
      </c>
      <c r="B29" s="292" t="inlineStr">
        <is>
          <t>Penalties &amp; Fines — Nondeductible</t>
        </is>
      </c>
      <c r="C29" s="293" t="inlineStr">
        <is>
          <t>Government fines and penalties. Nondeductible unless restitution or compliance payments.</t>
        </is>
      </c>
      <c r="D29" s="256" t="inlineStr">
        <is>
          <t>§162(f)</t>
        </is>
      </c>
      <c r="E29" s="256" t="inlineStr">
        <is>
          <t>54 (sub-line)</t>
        </is>
      </c>
      <c r="F29" s="294">
        <f>'Working Trial Balance'!D54</f>
        <v/>
      </c>
      <c r="G29" s="294">
        <f>-'Working Trial Balance'!G54</f>
        <v/>
      </c>
      <c r="H29" s="294">
        <f>'Working Trial Balance'!H54</f>
        <v/>
      </c>
      <c r="I29" s="295" t="inlineStr">
        <is>
          <t>Perm</t>
        </is>
      </c>
      <c r="J29" s="295" t="inlineStr">
        <is>
          <t>4c</t>
        </is>
      </c>
      <c r="K29" s="295" t="inlineStr">
        <is>
          <t>K 18c</t>
        </is>
      </c>
      <c r="L29" s="296" t="inlineStr">
        <is>
          <t>Review GL for penalty accounts. Check if any qualify under exception.</t>
        </is>
      </c>
    </row>
    <row r="30" ht="36" customHeight="1" s="104">
      <c r="A30" s="291" t="inlineStr">
        <is>
          <t>AJE-19</t>
        </is>
      </c>
      <c r="B30" s="292" t="inlineStr">
        <is>
          <t>Political Contributions — Nondeductible</t>
        </is>
      </c>
      <c r="C30" s="293" t="inlineStr">
        <is>
          <t>Contributions to political parties, candidates, or PACs. Always nondeductible.</t>
        </is>
      </c>
      <c r="D30" s="256" t="inlineStr">
        <is>
          <t>§162(e)</t>
        </is>
      </c>
      <c r="E30" s="256" t="inlineStr">
        <is>
          <t>55 (sub-line)</t>
        </is>
      </c>
      <c r="F30" s="294">
        <f>'Working Trial Balance'!D55</f>
        <v/>
      </c>
      <c r="G30" s="294">
        <f>-'Working Trial Balance'!G55</f>
        <v/>
      </c>
      <c r="H30" s="294">
        <f>'Working Trial Balance'!H55</f>
        <v/>
      </c>
      <c r="I30" s="295" t="inlineStr">
        <is>
          <t>Perm</t>
        </is>
      </c>
      <c r="J30" s="295" t="inlineStr">
        <is>
          <t>4c</t>
        </is>
      </c>
      <c r="K30" s="295" t="inlineStr">
        <is>
          <t>K 18c</t>
        </is>
      </c>
      <c r="L30" s="178" t="n"/>
    </row>
    <row r="31" ht="36" customHeight="1" s="104">
      <c r="A31" s="291" t="inlineStr">
        <is>
          <t>AJE-20</t>
        </is>
      </c>
      <c r="B31" s="292" t="inlineStr">
        <is>
          <t>Life Insurance (Entity Beneficiary)</t>
        </is>
      </c>
      <c r="C31" s="293" t="inlineStr">
        <is>
          <t>Premiums on policies where partnership is beneficiary. Nondeductible.</t>
        </is>
      </c>
      <c r="D31" s="256" t="inlineStr">
        <is>
          <t>§264(a)(1)</t>
        </is>
      </c>
      <c r="E31" s="256" t="inlineStr">
        <is>
          <t>56 (sub-line)</t>
        </is>
      </c>
      <c r="F31" s="294">
        <f>'Working Trial Balance'!D56</f>
        <v/>
      </c>
      <c r="G31" s="294">
        <f>-'Working Trial Balance'!G56</f>
        <v/>
      </c>
      <c r="H31" s="294">
        <f>'Working Trial Balance'!H56</f>
        <v/>
      </c>
      <c r="I31" s="295" t="inlineStr">
        <is>
          <t>Perm</t>
        </is>
      </c>
      <c r="J31" s="295" t="inlineStr">
        <is>
          <t>4c</t>
        </is>
      </c>
      <c r="K31" s="295" t="inlineStr">
        <is>
          <t>K 18c</t>
        </is>
      </c>
      <c r="L31" s="296" t="inlineStr">
        <is>
          <t>Confirm partnership is beneficiary. Key-person policies.</t>
        </is>
      </c>
    </row>
    <row r="32" ht="36" customHeight="1" s="104">
      <c r="A32" s="291" t="inlineStr">
        <is>
          <t>AJE-21</t>
        </is>
      </c>
      <c r="B32" s="292" t="inlineStr">
        <is>
          <t>State Income/Franchise Tax</t>
        </is>
      </c>
      <c r="C32" s="293" t="inlineStr">
        <is>
          <t>State income or franchise taxes paid. Not deductible on federal partnership return.</t>
        </is>
      </c>
      <c r="D32" s="256" t="inlineStr">
        <is>
          <t>§275</t>
        </is>
      </c>
      <c r="E32" s="256" t="inlineStr">
        <is>
          <t>57 (sub-line)</t>
        </is>
      </c>
      <c r="F32" s="294">
        <f>'Working Trial Balance'!D57</f>
        <v/>
      </c>
      <c r="G32" s="294">
        <f>-'Working Trial Balance'!G57</f>
        <v/>
      </c>
      <c r="H32" s="294">
        <f>'Working Trial Balance'!H57</f>
        <v/>
      </c>
      <c r="I32" s="295" t="inlineStr">
        <is>
          <t>Perm</t>
        </is>
      </c>
      <c r="J32" s="295" t="inlineStr">
        <is>
          <t>4c</t>
        </is>
      </c>
      <c r="K32" s="295" t="inlineStr">
        <is>
          <t>K 18c</t>
        </is>
      </c>
      <c r="L32" s="296" t="inlineStr">
        <is>
          <t>Separate from deductible property taxes and payroll taxes.</t>
        </is>
      </c>
    </row>
    <row r="33" ht="21.75" customHeight="1" s="104">
      <c r="A33" s="234" t="inlineStr">
        <is>
          <t>SEPARATELY STATED / K-1 ITEMS</t>
        </is>
      </c>
      <c r="B33" s="289" t="n"/>
      <c r="C33" s="289" t="n"/>
      <c r="D33" s="289" t="n"/>
      <c r="E33" s="289" t="n"/>
      <c r="F33" s="289" t="n"/>
      <c r="G33" s="289" t="n"/>
      <c r="H33" s="289" t="n"/>
      <c r="I33" s="289" t="n"/>
      <c r="J33" s="289" t="n"/>
      <c r="K33" s="289" t="n"/>
      <c r="L33" s="290" t="n"/>
    </row>
    <row r="34" ht="36" customHeight="1" s="104">
      <c r="A34" s="291" t="inlineStr">
        <is>
          <t>AJE-22</t>
        </is>
      </c>
      <c r="B34" s="292" t="inlineStr">
        <is>
          <t>Tax-Exempt Interest Income</t>
        </is>
      </c>
      <c r="C34" s="293" t="inlineStr">
        <is>
          <t>Municipal bond interest. Not taxable but increases partner basis. Report on K Line 18a.</t>
        </is>
      </c>
      <c r="D34" s="256" t="inlineStr">
        <is>
          <t>§103</t>
        </is>
      </c>
      <c r="E34" s="256" t="inlineStr">
        <is>
          <t>88 (K L18a)</t>
        </is>
      </c>
      <c r="F34" s="294">
        <f>'Working Trial Balance'!D88</f>
        <v/>
      </c>
      <c r="G34" s="296" t="n">
        <v>0</v>
      </c>
      <c r="H34" s="294">
        <f>'Working Trial Balance'!H88</f>
        <v/>
      </c>
      <c r="I34" s="295" t="inlineStr">
        <is>
          <t>Perm</t>
        </is>
      </c>
      <c r="J34" s="295" t="inlineStr">
        <is>
          <t>6</t>
        </is>
      </c>
      <c r="K34" s="295" t="inlineStr">
        <is>
          <t>K 18a</t>
        </is>
      </c>
      <c r="L34" s="296" t="inlineStr">
        <is>
          <t>Include in M-2 other increases. Increases basis.</t>
        </is>
      </c>
    </row>
    <row r="35" ht="36" customHeight="1" s="104">
      <c r="A35" s="291" t="inlineStr">
        <is>
          <t>AJE-23</t>
        </is>
      </c>
      <c r="B35" s="292" t="inlineStr">
        <is>
          <t>Partner Health Insurance (to K-1)</t>
        </is>
      </c>
      <c r="C35" s="293" t="inlineStr">
        <is>
          <t>Health insurance premiums for partners. Not a P1 deduction — goes to each K-1 Line 13 Code M.</t>
        </is>
      </c>
      <c r="D35" s="256" t="inlineStr">
        <is>
          <t>§162(l)</t>
        </is>
      </c>
      <c r="E35" s="256" t="inlineStr">
        <is>
          <t>60 (sub-line)</t>
        </is>
      </c>
      <c r="F35" s="294">
        <f>'Working Trial Balance'!D60</f>
        <v/>
      </c>
      <c r="G35" s="294">
        <f>-'Working Trial Balance'!G60</f>
        <v/>
      </c>
      <c r="H35" s="294">
        <f>'Working Trial Balance'!H60</f>
        <v/>
      </c>
      <c r="I35" s="295" t="inlineStr">
        <is>
          <t>N/A</t>
        </is>
      </c>
      <c r="J35" s="295" t="inlineStr">
        <is>
          <t>4c</t>
        </is>
      </c>
      <c r="K35" s="295" t="inlineStr">
        <is>
          <t>K-1 13M</t>
        </is>
      </c>
      <c r="L35" s="296" t="inlineStr">
        <is>
          <t>Allocate per partner. Partner takes as SE health ins deduction on 1040.</t>
        </is>
      </c>
    </row>
    <row r="36" ht="36" customHeight="1" s="104">
      <c r="A36" s="291" t="inlineStr">
        <is>
          <t>AJE-24</t>
        </is>
      </c>
      <c r="B36" s="292" t="inlineStr">
        <is>
          <t>Charitable Contributions (to K-1)</t>
        </is>
      </c>
      <c r="C36" s="293" t="inlineStr">
        <is>
          <t>Charitable donations. Separately stated — not on P1. Each partner applies own AGI limitation.</t>
        </is>
      </c>
      <c r="D36" s="256" t="inlineStr">
        <is>
          <t>§170</t>
        </is>
      </c>
      <c r="E36" s="256" t="inlineStr">
        <is>
          <t>64 (sub-line)</t>
        </is>
      </c>
      <c r="F36" s="294">
        <f>'Working Trial Balance'!D64</f>
        <v/>
      </c>
      <c r="G36" s="294">
        <f>-'Working Trial Balance'!G64</f>
        <v/>
      </c>
      <c r="H36" s="294">
        <f>'Working Trial Balance'!H64</f>
        <v/>
      </c>
      <c r="I36" s="295" t="inlineStr">
        <is>
          <t>N/A</t>
        </is>
      </c>
      <c r="J36" s="295" t="inlineStr">
        <is>
          <t>4c</t>
        </is>
      </c>
      <c r="K36" s="295" t="inlineStr">
        <is>
          <t>K 13a</t>
        </is>
      </c>
      <c r="L36" s="296" t="inlineStr">
        <is>
          <t>Get donation receipts for &gt;$250. Noncash &gt;$500 needs Form 8283.</t>
        </is>
      </c>
    </row>
    <row r="37" ht="36" customHeight="1" s="104">
      <c r="A37" s="291" t="inlineStr">
        <is>
          <t>AJE-25</t>
        </is>
      </c>
      <c r="B37" s="292" t="inlineStr">
        <is>
          <t>Investment Interest Expense (to K-1)</t>
        </is>
      </c>
      <c r="C37" s="293" t="inlineStr">
        <is>
          <t>Interest on debt to carry investments. Separately stated — partner applies Sec 163(d) limitation.</t>
        </is>
      </c>
      <c r="D37" s="256" t="inlineStr">
        <is>
          <t>§163(d)</t>
        </is>
      </c>
      <c r="E37" s="256" t="inlineStr">
        <is>
          <t>65 (sub-line)</t>
        </is>
      </c>
      <c r="F37" s="294">
        <f>'Working Trial Balance'!D65</f>
        <v/>
      </c>
      <c r="G37" s="294">
        <f>-'Working Trial Balance'!G65</f>
        <v/>
      </c>
      <c r="H37" s="294">
        <f>'Working Trial Balance'!H65</f>
        <v/>
      </c>
      <c r="I37" s="295" t="inlineStr">
        <is>
          <t>N/A</t>
        </is>
      </c>
      <c r="J37" s="295" t="inlineStr">
        <is>
          <t>4c</t>
        </is>
      </c>
      <c r="K37" s="295" t="inlineStr">
        <is>
          <t>K 13b</t>
        </is>
      </c>
      <c r="L37" s="296" t="inlineStr">
        <is>
          <t>Match to investment income. Partner nets on Form 4952.</t>
        </is>
      </c>
    </row>
    <row r="38"/>
    <row r="39" ht="15" customHeight="1" s="104">
      <c r="A39" s="221" t="inlineStr">
        <is>
          <t>CHECKLIST TOTALS</t>
        </is>
      </c>
      <c r="B39" s="283" t="n"/>
      <c r="C39" s="283" t="n"/>
      <c r="D39" s="283" t="n"/>
      <c r="E39" s="283" t="n"/>
      <c r="F39" s="253">
        <f>SUM(F9:F37)</f>
        <v/>
      </c>
      <c r="G39" s="253">
        <f>SUM(G9:G37)</f>
        <v/>
      </c>
      <c r="H39" s="253">
        <f>SUM(H9:H37)</f>
        <v/>
      </c>
      <c r="I39" s="283" t="n"/>
      <c r="J39" s="283" t="n"/>
      <c r="K39" s="283" t="n"/>
      <c r="L39" s="283" t="n"/>
    </row>
    <row r="40" ht="15" customHeight="1" s="104">
      <c r="A40" s="224" t="inlineStr">
        <is>
          <t>CHECK: Net Adjustment (Tax Total - Book Total) should match sum of Adj column</t>
        </is>
      </c>
      <c r="B40" s="283" t="n"/>
      <c r="C40" s="283" t="n"/>
      <c r="D40" s="283" t="n"/>
      <c r="E40" s="283" t="n"/>
      <c r="F40" s="283" t="n"/>
      <c r="G40" s="253">
        <f>H39-F39-G39</f>
        <v/>
      </c>
      <c r="H40" s="283" t="n"/>
      <c r="I40" s="283" t="n"/>
      <c r="J40" s="283" t="n"/>
      <c r="K40" s="283" t="n"/>
      <c r="L40" s="283" t="n"/>
    </row>
    <row r="41"/>
    <row r="42"/>
    <row r="43" ht="24" customHeight="1" s="104">
      <c r="A43" s="286" t="inlineStr">
        <is>
          <t>SECTION B — ADJUSTING JOURNAL ENTRIES (AJEs)</t>
        </is>
      </c>
      <c r="B43" s="270" t="n"/>
      <c r="C43" s="270" t="n"/>
      <c r="D43" s="270" t="n"/>
      <c r="E43" s="270" t="n"/>
      <c r="F43" s="270" t="n"/>
      <c r="G43" s="270" t="n"/>
      <c r="H43" s="270" t="n"/>
      <c r="I43" s="270" t="n"/>
      <c r="J43" s="270" t="n"/>
      <c r="K43" s="270" t="n"/>
      <c r="L43" s="270" t="n"/>
    </row>
    <row r="44" ht="15" customHeight="1" s="104">
      <c r="A44" s="285" t="inlineStr">
        <is>
          <t>Each AJE represents a book-to-tax adjustment. DR increases tax amount, CR decreases. These entries bridge the gap between client books and the tax return.</t>
        </is>
      </c>
    </row>
    <row r="45"/>
    <row r="46" ht="15" customHeight="1" s="104">
      <c r="A46" s="287" t="inlineStr">
        <is>
          <t>AJE#</t>
        </is>
      </c>
      <c r="B46" s="288" t="inlineStr">
        <is>
          <t>Date</t>
        </is>
      </c>
      <c r="C46" s="288" t="inlineStr">
        <is>
          <t>Account / Line Description</t>
        </is>
      </c>
      <c r="D46" s="288" t="inlineStr">
        <is>
          <t>WTB Row</t>
        </is>
      </c>
      <c r="E46" s="288" t="inlineStr">
        <is>
          <t>DR (+)</t>
        </is>
      </c>
      <c r="F46" s="288" t="inlineStr">
        <is>
          <t>CR (-)</t>
        </is>
      </c>
      <c r="G46" s="288" t="inlineStr">
        <is>
          <t>Net Effect</t>
        </is>
      </c>
      <c r="H46" s="288" t="inlineStr">
        <is>
          <t>Perm / Temp</t>
        </is>
      </c>
      <c r="I46" s="288" t="inlineStr">
        <is>
          <t>IRC Reference</t>
        </is>
      </c>
      <c r="J46" s="288" t="inlineStr">
        <is>
          <t>Memo / Workpaper Reference</t>
        </is>
      </c>
    </row>
    <row r="47" ht="30" customHeight="1" s="104">
      <c r="A47" s="291" t="inlineStr">
        <is>
          <t>AJE-01</t>
        </is>
      </c>
      <c r="B47" s="295" t="inlineStr">
        <is>
          <t>12/31/25</t>
        </is>
      </c>
      <c r="C47" s="295" t="inlineStr">
        <is>
          <t xml:space="preserve">  DR: Tax Depreciation (MACRS excess over book)</t>
        </is>
      </c>
      <c r="D47" s="256" t="inlineStr">
        <is>
          <t>44</t>
        </is>
      </c>
      <c r="E47" s="294">
        <f>'Working Trial Balance'!F44</f>
        <v/>
      </c>
      <c r="F47" s="186" t="n"/>
      <c r="G47" s="281">
        <f>E47</f>
        <v/>
      </c>
      <c r="H47" s="295" t="inlineStr">
        <is>
          <t>Temp</t>
        </is>
      </c>
      <c r="I47" s="256" t="inlineStr">
        <is>
          <t>§167/168</t>
        </is>
      </c>
      <c r="J47" s="293" t="inlineStr">
        <is>
          <t>MACRS depr exceeds book by this amount. DR increases tax deduction (P1 L16a). Get from depr schedule.</t>
        </is>
      </c>
    </row>
    <row r="48" ht="18" customHeight="1" s="104">
      <c r="A48" s="112" t="n"/>
      <c r="B48" s="112" t="n"/>
      <c r="C48" s="295" t="inlineStr">
        <is>
          <t xml:space="preserve">      CR: Book Depreciation (reclassify excess)</t>
        </is>
      </c>
      <c r="D48" s="256" t="inlineStr">
        <is>
          <t>44</t>
        </is>
      </c>
      <c r="E48" s="112" t="n"/>
      <c r="F48" s="294">
        <f>'Working Trial Balance'!F44</f>
        <v/>
      </c>
      <c r="G48" s="112" t="n"/>
      <c r="H48" s="112" t="n"/>
      <c r="I48" s="112" t="n"/>
      <c r="J48" s="112" t="n"/>
    </row>
    <row r="49" ht="30" customHeight="1" s="104">
      <c r="A49" s="291" t="inlineStr">
        <is>
          <t>AJE-02</t>
        </is>
      </c>
      <c r="B49" s="295" t="inlineStr">
        <is>
          <t>12/31/25</t>
        </is>
      </c>
      <c r="C49" s="295" t="inlineStr">
        <is>
          <t xml:space="preserve">  DR: Fixed Asset — Capitalize for Tax (Sec 179)</t>
        </is>
      </c>
      <c r="D49" s="256" t="inlineStr">
        <is>
          <t>10</t>
        </is>
      </c>
      <c r="E49" s="294">
        <f>'Working Trial Balance'!F84</f>
        <v/>
      </c>
      <c r="F49" s="186" t="n"/>
      <c r="G49" s="281">
        <f>E49</f>
        <v/>
      </c>
      <c r="H49" s="295" t="inlineStr">
        <is>
          <t>Temp</t>
        </is>
      </c>
      <c r="I49" s="256" t="inlineStr">
        <is>
          <t>§179</t>
        </is>
      </c>
      <c r="J49" s="293" t="inlineStr">
        <is>
          <t>Book expensed $35K capital improvement. Tax: capitalize and elect Sec 179 on K L12.</t>
        </is>
      </c>
    </row>
    <row r="50" ht="18" customHeight="1" s="104">
      <c r="A50" s="112" t="n"/>
      <c r="B50" s="112" t="n"/>
      <c r="C50" s="295" t="inlineStr">
        <is>
          <t xml:space="preserve">      CR: Other Deductions — Remove book expense</t>
        </is>
      </c>
      <c r="D50" s="256" t="inlineStr">
        <is>
          <t>61</t>
        </is>
      </c>
      <c r="E50" s="112" t="n"/>
      <c r="F50" s="294">
        <f>'Working Trial Balance'!F84</f>
        <v/>
      </c>
      <c r="G50" s="112" t="n"/>
      <c r="H50" s="112" t="n"/>
      <c r="I50" s="112" t="n"/>
      <c r="J50" s="112" t="n"/>
    </row>
    <row r="51" ht="30" customHeight="1" s="104">
      <c r="A51" s="291" t="inlineStr">
        <is>
          <t>AJE-03</t>
        </is>
      </c>
      <c r="B51" s="295" t="inlineStr">
        <is>
          <t>12/31/25</t>
        </is>
      </c>
      <c r="C51" s="295" t="inlineStr">
        <is>
          <t xml:space="preserve">  DR: Ordinary Income — Sec 1245 Recapture</t>
        </is>
      </c>
      <c r="D51" s="256" t="inlineStr">
        <is>
          <t>33</t>
        </is>
      </c>
      <c r="E51" s="294">
        <f>'Working Trial Balance'!F33</f>
        <v/>
      </c>
      <c r="F51" s="186" t="n"/>
      <c r="G51" s="281">
        <f>E51</f>
        <v/>
      </c>
      <c r="H51" s="295" t="inlineStr">
        <is>
          <t>Temp</t>
        </is>
      </c>
      <c r="I51" s="256" t="inlineStr">
        <is>
          <t>§1245</t>
        </is>
      </c>
      <c r="J51" s="293" t="inlineStr">
        <is>
          <t>Recapture depr on disposed asset. $12K from 1231 reclassed to ordinary (P1 L6).</t>
        </is>
      </c>
    </row>
    <row r="52" ht="18" customHeight="1" s="104">
      <c r="A52" s="112" t="n"/>
      <c r="B52" s="112" t="n"/>
      <c r="C52" s="295" t="inlineStr">
        <is>
          <t xml:space="preserve">      CR: Sec 1231 Gain — Reclassify recapture portion</t>
        </is>
      </c>
      <c r="D52" s="256" t="inlineStr">
        <is>
          <t>80</t>
        </is>
      </c>
      <c r="E52" s="112" t="n"/>
      <c r="F52" s="294">
        <f>'Working Trial Balance'!G80</f>
        <v/>
      </c>
      <c r="G52" s="112" t="n"/>
      <c r="H52" s="112" t="n"/>
      <c r="I52" s="112" t="n"/>
      <c r="J52" s="112" t="n"/>
    </row>
    <row r="53" ht="30" customHeight="1" s="104">
      <c r="A53" s="291" t="inlineStr">
        <is>
          <t>AJE-04</t>
        </is>
      </c>
      <c r="B53" s="295" t="inlineStr">
        <is>
          <t>12/31/25</t>
        </is>
      </c>
      <c r="C53" s="295" t="inlineStr">
        <is>
          <t xml:space="preserve">  DR: Other Income — Remove COD excluded</t>
        </is>
      </c>
      <c r="D53" s="256" t="inlineStr">
        <is>
          <t>34</t>
        </is>
      </c>
      <c r="E53" s="294">
        <f>'Working Trial Balance'!G34</f>
        <v/>
      </c>
      <c r="F53" s="186" t="n"/>
      <c r="G53" s="281">
        <f>E53</f>
        <v/>
      </c>
      <c r="H53" s="295" t="inlineStr">
        <is>
          <t>Perm</t>
        </is>
      </c>
      <c r="I53" s="256" t="inlineStr">
        <is>
          <t>§108</t>
        </is>
      </c>
      <c r="J53" s="293" t="inlineStr">
        <is>
          <t>Partnership insolvent at time of COD. File Form 982. Reduce tax attributes.</t>
        </is>
      </c>
    </row>
    <row r="54" ht="18" customHeight="1" s="104">
      <c r="A54" s="112" t="n"/>
      <c r="B54" s="112" t="n"/>
      <c r="C54" s="295" t="inlineStr">
        <is>
          <t xml:space="preserve">      CR: Book Income — Sec 108 exclusion</t>
        </is>
      </c>
      <c r="D54" s="256" t="inlineStr">
        <is>
          <t>34</t>
        </is>
      </c>
      <c r="E54" s="112" t="n"/>
      <c r="F54" s="294">
        <f>'Working Trial Balance'!G34</f>
        <v/>
      </c>
      <c r="G54" s="112" t="n"/>
      <c r="H54" s="112" t="n"/>
      <c r="I54" s="112" t="n"/>
      <c r="J54" s="112" t="n"/>
    </row>
    <row r="55" ht="30" customHeight="1" s="104">
      <c r="A55" s="291" t="inlineStr">
        <is>
          <t>AJE-05</t>
        </is>
      </c>
      <c r="B55" s="295" t="inlineStr">
        <is>
          <t>12/31/25</t>
        </is>
      </c>
      <c r="C55" s="295" t="inlineStr">
        <is>
          <t xml:space="preserve">  DR: Rental Real Estate — Tax depr adjustment</t>
        </is>
      </c>
      <c r="D55" s="256" t="inlineStr">
        <is>
          <t>71</t>
        </is>
      </c>
      <c r="E55" s="294">
        <f>'Working Trial Balance'!F71</f>
        <v/>
      </c>
      <c r="F55" s="186" t="n"/>
      <c r="G55" s="281">
        <f>E55</f>
        <v/>
      </c>
      <c r="H55" s="295" t="inlineStr">
        <is>
          <t>Temp</t>
        </is>
      </c>
      <c r="I55" s="256" t="inlineStr">
        <is>
          <t>§167/168</t>
        </is>
      </c>
      <c r="J55" s="293" t="inlineStr">
        <is>
          <t>Rental property MACRS exceeds book depr. Increases net rental income for tax.</t>
        </is>
      </c>
    </row>
    <row r="56" ht="18" customHeight="1" s="104">
      <c r="A56" s="112" t="n"/>
      <c r="B56" s="112" t="n"/>
      <c r="C56" s="295" t="inlineStr">
        <is>
          <t xml:space="preserve">      CR: Rental Depreciation — Excess tax over book</t>
        </is>
      </c>
      <c r="D56" s="256" t="inlineStr">
        <is>
          <t>71</t>
        </is>
      </c>
      <c r="E56" s="112" t="n"/>
      <c r="F56" s="294">
        <f>'Working Trial Balance'!F71</f>
        <v/>
      </c>
      <c r="G56" s="112" t="n"/>
      <c r="H56" s="112" t="n"/>
      <c r="I56" s="112" t="n"/>
      <c r="J56" s="112" t="n"/>
    </row>
    <row r="57" ht="30" customHeight="1" s="104">
      <c r="A57" s="291" t="inlineStr">
        <is>
          <t>AJE-06</t>
        </is>
      </c>
      <c r="B57" s="295" t="inlineStr">
        <is>
          <t>12/31/25</t>
        </is>
      </c>
      <c r="C57" s="295" t="inlineStr">
        <is>
          <t xml:space="preserve">  DR: Inventory — UNICAP Sec 263A add-back</t>
        </is>
      </c>
      <c r="D57" s="256" t="inlineStr">
        <is>
          <t>8</t>
        </is>
      </c>
      <c r="E57" s="294">
        <f>'Working Trial Balance'!F8</f>
        <v/>
      </c>
      <c r="F57" s="186" t="n"/>
      <c r="G57" s="281">
        <f>E57</f>
        <v/>
      </c>
      <c r="H57" s="295" t="inlineStr">
        <is>
          <t>Temp</t>
        </is>
      </c>
      <c r="I57" s="256" t="inlineStr">
        <is>
          <t>§263A</t>
        </is>
      </c>
      <c r="J57" s="293" t="inlineStr">
        <is>
          <t>UNICAP adds $8.5K to inventory basis. Required if avg gross receipts &gt;$29M.</t>
        </is>
      </c>
    </row>
    <row r="58" ht="18" customHeight="1" s="104">
      <c r="A58" s="112" t="n"/>
      <c r="B58" s="112" t="n"/>
      <c r="C58" s="295" t="inlineStr">
        <is>
          <t xml:space="preserve">      CR: Cost Capitalized to Inventory</t>
        </is>
      </c>
      <c r="D58" s="256" t="inlineStr">
        <is>
          <t>8</t>
        </is>
      </c>
      <c r="E58" s="112" t="n"/>
      <c r="F58" s="294">
        <f>'Working Trial Balance'!F8</f>
        <v/>
      </c>
      <c r="G58" s="112" t="n"/>
      <c r="H58" s="112" t="n"/>
      <c r="I58" s="112" t="n"/>
      <c r="J58" s="112" t="n"/>
    </row>
    <row r="59" ht="30" customHeight="1" s="104">
      <c r="A59" s="291" t="inlineStr">
        <is>
          <t>AJE-07</t>
        </is>
      </c>
      <c r="B59" s="295" t="inlineStr">
        <is>
          <t>12/31/25</t>
        </is>
      </c>
      <c r="C59" s="295" t="inlineStr">
        <is>
          <t xml:space="preserve">  DR: Salaries Expense — Sec 267 disallowance</t>
        </is>
      </c>
      <c r="D59" s="256" t="inlineStr">
        <is>
          <t>37</t>
        </is>
      </c>
      <c r="E59" s="294">
        <f>'Working Trial Balance'!G37</f>
        <v/>
      </c>
      <c r="F59" s="186" t="n"/>
      <c r="G59" s="281">
        <f>E59</f>
        <v/>
      </c>
      <c r="H59" s="295" t="inlineStr">
        <is>
          <t>Temp</t>
        </is>
      </c>
      <c r="I59" s="256" t="inlineStr">
        <is>
          <t>§267</t>
        </is>
      </c>
      <c r="J59" s="293" t="inlineStr">
        <is>
          <t>Accrued bonus to related partner not paid within 2.5 months. Disallow until paid.</t>
        </is>
      </c>
    </row>
    <row r="60" ht="18" customHeight="1" s="104">
      <c r="A60" s="112" t="n"/>
      <c r="B60" s="112" t="n"/>
      <c r="C60" s="295" t="inlineStr">
        <is>
          <t xml:space="preserve">      CR: Accrued Bonus — Related party unpaid</t>
        </is>
      </c>
      <c r="D60" s="256" t="inlineStr">
        <is>
          <t>37</t>
        </is>
      </c>
      <c r="E60" s="112" t="n"/>
      <c r="F60" s="294">
        <f>'Working Trial Balance'!G37</f>
        <v/>
      </c>
      <c r="G60" s="112" t="n"/>
      <c r="H60" s="112" t="n"/>
      <c r="I60" s="112" t="n"/>
      <c r="J60" s="112" t="n"/>
    </row>
    <row r="61" ht="30" customHeight="1" s="104">
      <c r="A61" s="291" t="inlineStr">
        <is>
          <t>AJE-08</t>
        </is>
      </c>
      <c r="B61" s="295" t="inlineStr">
        <is>
          <t>12/31/25</t>
        </is>
      </c>
      <c r="C61" s="295" t="inlineStr">
        <is>
          <t xml:space="preserve">  DR: Bad Debt Expense — Reserve disallowance</t>
        </is>
      </c>
      <c r="D61" s="256" t="inlineStr">
        <is>
          <t>40</t>
        </is>
      </c>
      <c r="E61" s="294">
        <f>'Working Trial Balance'!G40</f>
        <v/>
      </c>
      <c r="F61" s="186" t="n"/>
      <c r="G61" s="281">
        <f>E61</f>
        <v/>
      </c>
      <c r="H61" s="295" t="inlineStr">
        <is>
          <t>Temp</t>
        </is>
      </c>
      <c r="I61" s="256" t="inlineStr">
        <is>
          <t>§166</t>
        </is>
      </c>
      <c r="J61" s="293" t="inlineStr">
        <is>
          <t>Book reserve method not allowed for tax. Specific charge-off only. Actual write-offs = $0.</t>
        </is>
      </c>
    </row>
    <row r="62" ht="18" customHeight="1" s="104">
      <c r="A62" s="112" t="n"/>
      <c r="B62" s="112" t="n"/>
      <c r="C62" s="295" t="inlineStr">
        <is>
          <t xml:space="preserve">      CR: Allowance for Doubtful Accounts — Tax add-back</t>
        </is>
      </c>
      <c r="D62" s="256" t="inlineStr">
        <is>
          <t>40</t>
        </is>
      </c>
      <c r="E62" s="112" t="n"/>
      <c r="F62" s="294">
        <f>'Working Trial Balance'!G40</f>
        <v/>
      </c>
      <c r="G62" s="112" t="n"/>
      <c r="H62" s="112" t="n"/>
      <c r="I62" s="112" t="n"/>
      <c r="J62" s="112" t="n"/>
    </row>
    <row r="63" ht="30" customHeight="1" s="104">
      <c r="A63" s="291" t="inlineStr">
        <is>
          <t>AJE-09</t>
        </is>
      </c>
      <c r="B63" s="295" t="inlineStr">
        <is>
          <t>12/31/25</t>
        </is>
      </c>
      <c r="C63" s="295" t="inlineStr">
        <is>
          <t xml:space="preserve">  DR: Warranty Expense — Reserve disallowance</t>
        </is>
      </c>
      <c r="D63" s="256" t="inlineStr">
        <is>
          <t>58</t>
        </is>
      </c>
      <c r="E63" s="294">
        <f>'Working Trial Balance'!G58</f>
        <v/>
      </c>
      <c r="F63" s="186" t="n"/>
      <c r="G63" s="281">
        <f>E63</f>
        <v/>
      </c>
      <c r="H63" s="295" t="inlineStr">
        <is>
          <t>Temp</t>
        </is>
      </c>
      <c r="I63" s="256" t="inlineStr">
        <is>
          <t>§461(h)</t>
        </is>
      </c>
      <c r="J63" s="293" t="inlineStr">
        <is>
          <t>Tax: deductible when claims actually paid, not when accrued.</t>
        </is>
      </c>
    </row>
    <row r="64" ht="18" customHeight="1" s="104">
      <c r="A64" s="112" t="n"/>
      <c r="B64" s="112" t="n"/>
      <c r="C64" s="295" t="inlineStr">
        <is>
          <t xml:space="preserve">      CR: Warranty Reserve — Economic performance not met</t>
        </is>
      </c>
      <c r="D64" s="256" t="inlineStr">
        <is>
          <t>58</t>
        </is>
      </c>
      <c r="E64" s="112" t="n"/>
      <c r="F64" s="294">
        <f>'Working Trial Balance'!G58</f>
        <v/>
      </c>
      <c r="G64" s="112" t="n"/>
      <c r="H64" s="112" t="n"/>
      <c r="I64" s="112" t="n"/>
      <c r="J64" s="112" t="n"/>
    </row>
    <row r="65" ht="30" customHeight="1" s="104">
      <c r="A65" s="291" t="inlineStr">
        <is>
          <t>AJE-10</t>
        </is>
      </c>
      <c r="B65" s="295" t="inlineStr">
        <is>
          <t>12/31/25</t>
        </is>
      </c>
      <c r="C65" s="295" t="inlineStr">
        <is>
          <t xml:space="preserve">  DR: Litigation Expense — Reserve disallowance</t>
        </is>
      </c>
      <c r="D65" s="256" t="inlineStr">
        <is>
          <t>59</t>
        </is>
      </c>
      <c r="E65" s="294">
        <f>'Working Trial Balance'!G59</f>
        <v/>
      </c>
      <c r="F65" s="186" t="n"/>
      <c r="G65" s="281">
        <f>E65</f>
        <v/>
      </c>
      <c r="H65" s="295" t="inlineStr">
        <is>
          <t>Temp</t>
        </is>
      </c>
      <c r="I65" s="256" t="inlineStr">
        <is>
          <t>§461(h)</t>
        </is>
      </c>
      <c r="J65" s="293" t="inlineStr">
        <is>
          <t>Tax: deductible when settled/paid. Get status from legal counsel.</t>
        </is>
      </c>
    </row>
    <row r="66" ht="18" customHeight="1" s="104">
      <c r="A66" s="112" t="n"/>
      <c r="B66" s="112" t="n"/>
      <c r="C66" s="295" t="inlineStr">
        <is>
          <t xml:space="preserve">      CR: Litigation Reserve — Economic performance not met</t>
        </is>
      </c>
      <c r="D66" s="256" t="inlineStr">
        <is>
          <t>59</t>
        </is>
      </c>
      <c r="E66" s="112" t="n"/>
      <c r="F66" s="294">
        <f>'Working Trial Balance'!G59</f>
        <v/>
      </c>
      <c r="G66" s="112" t="n"/>
      <c r="H66" s="112" t="n"/>
      <c r="I66" s="112" t="n"/>
      <c r="J66" s="112" t="n"/>
    </row>
    <row r="67" ht="30" customHeight="1" s="104">
      <c r="A67" s="291" t="inlineStr">
        <is>
          <t>AJE-11</t>
        </is>
      </c>
      <c r="B67" s="295" t="inlineStr">
        <is>
          <t>12/31/25</t>
        </is>
      </c>
      <c r="C67" s="295" t="inlineStr">
        <is>
          <t xml:space="preserve">  DR: A/R Allowance — Tax add-back</t>
        </is>
      </c>
      <c r="D67" s="256" t="inlineStr">
        <is>
          <t>7</t>
        </is>
      </c>
      <c r="E67" s="294">
        <f>'Working Trial Balance'!F7</f>
        <v/>
      </c>
      <c r="F67" s="186" t="n"/>
      <c r="G67" s="281">
        <f>E67</f>
        <v/>
      </c>
      <c r="H67" s="295" t="inlineStr">
        <is>
          <t>Temp</t>
        </is>
      </c>
      <c r="I67" s="256" t="inlineStr">
        <is>
          <t>§166</t>
        </is>
      </c>
      <c r="J67" s="293" t="inlineStr">
        <is>
          <t>B/S only. Increase tax basis of receivables by book reserve amount.</t>
        </is>
      </c>
    </row>
    <row r="68" ht="18" customHeight="1" s="104">
      <c r="A68" s="112" t="n"/>
      <c r="B68" s="112" t="n"/>
      <c r="C68" s="295" t="inlineStr">
        <is>
          <t xml:space="preserve">      CR: Receivables Basis Adjustment</t>
        </is>
      </c>
      <c r="D68" s="256" t="inlineStr">
        <is>
          <t>7</t>
        </is>
      </c>
      <c r="E68" s="112" t="n"/>
      <c r="F68" s="294">
        <f>'Working Trial Balance'!F7</f>
        <v/>
      </c>
      <c r="G68" s="112" t="n"/>
      <c r="H68" s="112" t="n"/>
      <c r="I68" s="112" t="n"/>
      <c r="J68" s="112" t="n"/>
    </row>
    <row r="69" ht="30" customHeight="1" s="104">
      <c r="A69" s="291" t="inlineStr">
        <is>
          <t>AJE-12</t>
        </is>
      </c>
      <c r="B69" s="295" t="inlineStr">
        <is>
          <t>12/31/25</t>
        </is>
      </c>
      <c r="C69" s="295" t="inlineStr">
        <is>
          <t xml:space="preserve">  DR: Goodwill Amort — Book exceeds tax</t>
        </is>
      </c>
      <c r="D69" s="256" t="inlineStr">
        <is>
          <t>62</t>
        </is>
      </c>
      <c r="E69" s="294">
        <f>'Working Trial Balance'!G62</f>
        <v/>
      </c>
      <c r="F69" s="186" t="n"/>
      <c r="G69" s="281">
        <f>E69</f>
        <v/>
      </c>
      <c r="H69" s="295" t="inlineStr">
        <is>
          <t>Temp</t>
        </is>
      </c>
      <c r="I69" s="256" t="inlineStr">
        <is>
          <t>§197</t>
        </is>
      </c>
      <c r="J69" s="293" t="inlineStr">
        <is>
          <t>Book 10yr ($30K) vs tax 15yr ($20K). Tax basis $10K higher than book.</t>
        </is>
      </c>
    </row>
    <row r="70" ht="18" customHeight="1" s="104">
      <c r="A70" s="112" t="n"/>
      <c r="B70" s="112" t="n"/>
      <c r="C70" s="295" t="inlineStr">
        <is>
          <t xml:space="preserve">      CR: Intangible Basis — Sec 197 slower amort</t>
        </is>
      </c>
      <c r="D70" s="256" t="inlineStr">
        <is>
          <t>11</t>
        </is>
      </c>
      <c r="E70" s="112" t="n"/>
      <c r="F70" s="294">
        <f>'Working Trial Balance'!G62</f>
        <v/>
      </c>
      <c r="G70" s="112" t="n"/>
      <c r="H70" s="112" t="n"/>
      <c r="I70" s="112" t="n"/>
      <c r="J70" s="112" t="n"/>
    </row>
    <row r="71" ht="30" customHeight="1" s="104">
      <c r="A71" s="291" t="inlineStr">
        <is>
          <t>AJE-13</t>
        </is>
      </c>
      <c r="B71" s="295" t="inlineStr">
        <is>
          <t>12/31/25</t>
        </is>
      </c>
      <c r="C71" s="295" t="inlineStr">
        <is>
          <t xml:space="preserve">  DR: Patent Amort — Book exceeds tax</t>
        </is>
      </c>
      <c r="D71" s="256" t="inlineStr">
        <is>
          <t>63</t>
        </is>
      </c>
      <c r="E71" s="294">
        <f>'Working Trial Balance'!G63</f>
        <v/>
      </c>
      <c r="F71" s="186" t="n"/>
      <c r="G71" s="281">
        <f>E71</f>
        <v/>
      </c>
      <c r="H71" s="295" t="inlineStr">
        <is>
          <t>Temp</t>
        </is>
      </c>
      <c r="I71" s="256" t="inlineStr">
        <is>
          <t>§197</t>
        </is>
      </c>
      <c r="J71" s="293" t="inlineStr">
        <is>
          <t>Book 10yr ($7.5K) vs tax 15yr ($5K). Tax basis $2.5K higher than book.</t>
        </is>
      </c>
    </row>
    <row r="72" ht="18" customHeight="1" s="104">
      <c r="A72" s="112" t="n"/>
      <c r="B72" s="112" t="n"/>
      <c r="C72" s="295" t="inlineStr">
        <is>
          <t xml:space="preserve">      CR: Intangible Basis — Sec 197 slower amort</t>
        </is>
      </c>
      <c r="D72" s="256" t="inlineStr">
        <is>
          <t>11</t>
        </is>
      </c>
      <c r="E72" s="112" t="n"/>
      <c r="F72" s="294">
        <f>'Working Trial Balance'!G63</f>
        <v/>
      </c>
      <c r="G72" s="112" t="n"/>
      <c r="H72" s="112" t="n"/>
      <c r="I72" s="112" t="n"/>
      <c r="J72" s="112" t="n"/>
    </row>
    <row r="73" ht="30" customHeight="1" s="104">
      <c r="A73" s="291" t="inlineStr">
        <is>
          <t>AJE-14</t>
        </is>
      </c>
      <c r="B73" s="295" t="inlineStr">
        <is>
          <t>12/31/25</t>
        </is>
      </c>
      <c r="C73" s="295" t="inlineStr">
        <is>
          <t xml:space="preserve">  DR: Meals Expense — 50% disallowance</t>
        </is>
      </c>
      <c r="D73" s="256" t="inlineStr">
        <is>
          <t>51</t>
        </is>
      </c>
      <c r="E73" s="294">
        <f>'Working Trial Balance'!G51</f>
        <v/>
      </c>
      <c r="F73" s="186" t="n"/>
      <c r="G73" s="281">
        <f>E73</f>
        <v/>
      </c>
      <c r="H73" s="295" t="inlineStr">
        <is>
          <t>Perm</t>
        </is>
      </c>
      <c r="I73" s="256" t="inlineStr">
        <is>
          <t>§274(n)</t>
        </is>
      </c>
      <c r="J73" s="293" t="inlineStr">
        <is>
          <t>Business meals 50% deductible. $16K nondeductible portion to K-1 Line 18c.</t>
        </is>
      </c>
    </row>
    <row r="74" ht="18" customHeight="1" s="104">
      <c r="A74" s="112" t="n"/>
      <c r="B74" s="112" t="n"/>
      <c r="C74" s="295" t="inlineStr">
        <is>
          <t xml:space="preserve">      CR: Nondeductible Expense (K 18c)</t>
        </is>
      </c>
      <c r="D74" s="256" t="inlineStr">
        <is>
          <t>51</t>
        </is>
      </c>
      <c r="E74" s="112" t="n"/>
      <c r="F74" s="294">
        <f>'Working Trial Balance'!G51</f>
        <v/>
      </c>
      <c r="G74" s="112" t="n"/>
      <c r="H74" s="112" t="n"/>
      <c r="I74" s="112" t="n"/>
      <c r="J74" s="112" t="n"/>
    </row>
    <row r="75" ht="30" customHeight="1" s="104">
      <c r="A75" s="291" t="inlineStr">
        <is>
          <t>AJE-15</t>
        </is>
      </c>
      <c r="B75" s="295" t="inlineStr">
        <is>
          <t>12/31/25</t>
        </is>
      </c>
      <c r="C75" s="295" t="inlineStr">
        <is>
          <t xml:space="preserve">  DR: Entertainment Expense — Full disallowance</t>
        </is>
      </c>
      <c r="D75" s="256" t="inlineStr">
        <is>
          <t>52</t>
        </is>
      </c>
      <c r="E75" s="294">
        <f>'Working Trial Balance'!G52</f>
        <v/>
      </c>
      <c r="F75" s="186" t="n"/>
      <c r="G75" s="281">
        <f>E75</f>
        <v/>
      </c>
      <c r="H75" s="295" t="inlineStr">
        <is>
          <t>Perm</t>
        </is>
      </c>
      <c r="I75" s="256" t="inlineStr">
        <is>
          <t>§274(a)</t>
        </is>
      </c>
      <c r="J75" s="293" t="inlineStr">
        <is>
          <t>100% nondeductible post-TCJA.</t>
        </is>
      </c>
    </row>
    <row r="76" ht="18" customHeight="1" s="104">
      <c r="A76" s="112" t="n"/>
      <c r="B76" s="112" t="n"/>
      <c r="C76" s="295" t="inlineStr">
        <is>
          <t xml:space="preserve">      CR: Nondeductible Expense (K 18c)</t>
        </is>
      </c>
      <c r="D76" s="256" t="inlineStr">
        <is>
          <t>52</t>
        </is>
      </c>
      <c r="E76" s="112" t="n"/>
      <c r="F76" s="294">
        <f>'Working Trial Balance'!G52</f>
        <v/>
      </c>
      <c r="G76" s="112" t="n"/>
      <c r="H76" s="112" t="n"/>
      <c r="I76" s="112" t="n"/>
      <c r="J76" s="112" t="n"/>
    </row>
    <row r="77" ht="30" customHeight="1" s="104">
      <c r="A77" s="291" t="inlineStr">
        <is>
          <t>AJE-16</t>
        </is>
      </c>
      <c r="B77" s="295" t="inlineStr">
        <is>
          <t>12/31/25</t>
        </is>
      </c>
      <c r="C77" s="295" t="inlineStr">
        <is>
          <t xml:space="preserve">  DR: Club Dues — Full disallowance</t>
        </is>
      </c>
      <c r="D77" s="256" t="inlineStr">
        <is>
          <t>53</t>
        </is>
      </c>
      <c r="E77" s="294">
        <f>'Working Trial Balance'!G53</f>
        <v/>
      </c>
      <c r="F77" s="186" t="n"/>
      <c r="G77" s="281">
        <f>E77</f>
        <v/>
      </c>
      <c r="H77" s="295" t="inlineStr">
        <is>
          <t>Perm</t>
        </is>
      </c>
      <c r="I77" s="256" t="inlineStr">
        <is>
          <t>§274(a)(3)</t>
        </is>
      </c>
      <c r="J77" s="293" t="inlineStr">
        <is>
          <t>100% nondeductible.</t>
        </is>
      </c>
    </row>
    <row r="78" ht="18" customHeight="1" s="104">
      <c r="A78" s="112" t="n"/>
      <c r="B78" s="112" t="n"/>
      <c r="C78" s="295" t="inlineStr">
        <is>
          <t xml:space="preserve">      CR: Nondeductible Expense (K 18c)</t>
        </is>
      </c>
      <c r="D78" s="256" t="inlineStr">
        <is>
          <t>53</t>
        </is>
      </c>
      <c r="E78" s="112" t="n"/>
      <c r="F78" s="294">
        <f>'Working Trial Balance'!G53</f>
        <v/>
      </c>
      <c r="G78" s="112" t="n"/>
      <c r="H78" s="112" t="n"/>
      <c r="I78" s="112" t="n"/>
      <c r="J78" s="112" t="n"/>
    </row>
    <row r="79" ht="30" customHeight="1" s="104">
      <c r="A79" s="291" t="inlineStr">
        <is>
          <t>AJE-17</t>
        </is>
      </c>
      <c r="B79" s="295" t="inlineStr">
        <is>
          <t>12/31/25</t>
        </is>
      </c>
      <c r="C79" s="295" t="inlineStr">
        <is>
          <t xml:space="preserve">  DR: Penalties &amp; Fines — Full disallowance</t>
        </is>
      </c>
      <c r="D79" s="256" t="inlineStr">
        <is>
          <t>54</t>
        </is>
      </c>
      <c r="E79" s="294">
        <f>'Working Trial Balance'!G54</f>
        <v/>
      </c>
      <c r="F79" s="186" t="n"/>
      <c r="G79" s="281">
        <f>E79</f>
        <v/>
      </c>
      <c r="H79" s="295" t="inlineStr">
        <is>
          <t>Perm</t>
        </is>
      </c>
      <c r="I79" s="256" t="inlineStr">
        <is>
          <t>§162(f)</t>
        </is>
      </c>
      <c r="J79" s="293" t="inlineStr">
        <is>
          <t>Government penalties nondeductible unless restitution.</t>
        </is>
      </c>
    </row>
    <row r="80" ht="18" customHeight="1" s="104">
      <c r="A80" s="112" t="n"/>
      <c r="B80" s="112" t="n"/>
      <c r="C80" s="295" t="inlineStr">
        <is>
          <t xml:space="preserve">      CR: Nondeductible Expense (K 18c)</t>
        </is>
      </c>
      <c r="D80" s="256" t="inlineStr">
        <is>
          <t>54</t>
        </is>
      </c>
      <c r="E80" s="112" t="n"/>
      <c r="F80" s="294">
        <f>'Working Trial Balance'!G54</f>
        <v/>
      </c>
      <c r="G80" s="112" t="n"/>
      <c r="H80" s="112" t="n"/>
      <c r="I80" s="112" t="n"/>
      <c r="J80" s="112" t="n"/>
    </row>
    <row r="81" ht="30" customHeight="1" s="104">
      <c r="A81" s="291" t="inlineStr">
        <is>
          <t>AJE-18</t>
        </is>
      </c>
      <c r="B81" s="295" t="inlineStr">
        <is>
          <t>12/31/25</t>
        </is>
      </c>
      <c r="C81" s="295" t="inlineStr">
        <is>
          <t xml:space="preserve">  DR: Political Contributions — Full disallowance</t>
        </is>
      </c>
      <c r="D81" s="256" t="inlineStr">
        <is>
          <t>55</t>
        </is>
      </c>
      <c r="E81" s="294">
        <f>'Working Trial Balance'!G55</f>
        <v/>
      </c>
      <c r="F81" s="186" t="n"/>
      <c r="G81" s="281">
        <f>E81</f>
        <v/>
      </c>
      <c r="H81" s="295" t="inlineStr">
        <is>
          <t>Perm</t>
        </is>
      </c>
      <c r="I81" s="256" t="inlineStr">
        <is>
          <t>§162(e)</t>
        </is>
      </c>
      <c r="J81" s="173" t="n"/>
    </row>
    <row r="82" ht="18" customHeight="1" s="104">
      <c r="A82" s="112" t="n"/>
      <c r="B82" s="112" t="n"/>
      <c r="C82" s="295" t="inlineStr">
        <is>
          <t xml:space="preserve">      CR: Nondeductible Expense (K 18c)</t>
        </is>
      </c>
      <c r="D82" s="256" t="inlineStr">
        <is>
          <t>55</t>
        </is>
      </c>
      <c r="E82" s="112" t="n"/>
      <c r="F82" s="294">
        <f>'Working Trial Balance'!G55</f>
        <v/>
      </c>
      <c r="G82" s="112" t="n"/>
      <c r="H82" s="112" t="n"/>
      <c r="I82" s="112" t="n"/>
      <c r="J82" s="112" t="n"/>
    </row>
    <row r="83" ht="30" customHeight="1" s="104">
      <c r="A83" s="291" t="inlineStr">
        <is>
          <t>AJE-19</t>
        </is>
      </c>
      <c r="B83" s="295" t="inlineStr">
        <is>
          <t>12/31/25</t>
        </is>
      </c>
      <c r="C83" s="295" t="inlineStr">
        <is>
          <t xml:space="preserve">  DR: Life Insurance Premiums — Full disallowance</t>
        </is>
      </c>
      <c r="D83" s="256" t="inlineStr">
        <is>
          <t>56</t>
        </is>
      </c>
      <c r="E83" s="294">
        <f>'Working Trial Balance'!G56</f>
        <v/>
      </c>
      <c r="F83" s="186" t="n"/>
      <c r="G83" s="281">
        <f>E83</f>
        <v/>
      </c>
      <c r="H83" s="295" t="inlineStr">
        <is>
          <t>Perm</t>
        </is>
      </c>
      <c r="I83" s="256" t="inlineStr">
        <is>
          <t>§264(a)(1)</t>
        </is>
      </c>
      <c r="J83" s="293" t="inlineStr">
        <is>
          <t>Partnership is beneficiary.</t>
        </is>
      </c>
    </row>
    <row r="84" ht="18" customHeight="1" s="104">
      <c r="A84" s="112" t="n"/>
      <c r="B84" s="112" t="n"/>
      <c r="C84" s="295" t="inlineStr">
        <is>
          <t xml:space="preserve">      CR: Nondeductible Expense (K 18c)</t>
        </is>
      </c>
      <c r="D84" s="256" t="inlineStr">
        <is>
          <t>56</t>
        </is>
      </c>
      <c r="E84" s="112" t="n"/>
      <c r="F84" s="294">
        <f>'Working Trial Balance'!G56</f>
        <v/>
      </c>
      <c r="G84" s="112" t="n"/>
      <c r="H84" s="112" t="n"/>
      <c r="I84" s="112" t="n"/>
      <c r="J84" s="112" t="n"/>
    </row>
    <row r="85" ht="30" customHeight="1" s="104">
      <c r="A85" s="291" t="inlineStr">
        <is>
          <t>AJE-20</t>
        </is>
      </c>
      <c r="B85" s="295" t="inlineStr">
        <is>
          <t>12/31/25</t>
        </is>
      </c>
      <c r="C85" s="295" t="inlineStr">
        <is>
          <t xml:space="preserve">  DR: State Income/Franchise Tax — Full disallowance</t>
        </is>
      </c>
      <c r="D85" s="256" t="inlineStr">
        <is>
          <t>57</t>
        </is>
      </c>
      <c r="E85" s="294">
        <f>'Working Trial Balance'!G57</f>
        <v/>
      </c>
      <c r="F85" s="186" t="n"/>
      <c r="G85" s="281">
        <f>E85</f>
        <v/>
      </c>
      <c r="H85" s="295" t="inlineStr">
        <is>
          <t>Perm</t>
        </is>
      </c>
      <c r="I85" s="256" t="inlineStr">
        <is>
          <t>§275</t>
        </is>
      </c>
      <c r="J85" s="293" t="inlineStr">
        <is>
          <t>Not deductible on federal return.</t>
        </is>
      </c>
    </row>
    <row r="86" ht="18" customHeight="1" s="104">
      <c r="A86" s="112" t="n"/>
      <c r="B86" s="112" t="n"/>
      <c r="C86" s="295" t="inlineStr">
        <is>
          <t xml:space="preserve">      CR: Nondeductible Expense (K 18c)</t>
        </is>
      </c>
      <c r="D86" s="256" t="inlineStr">
        <is>
          <t>57</t>
        </is>
      </c>
      <c r="E86" s="112" t="n"/>
      <c r="F86" s="294">
        <f>'Working Trial Balance'!G57</f>
        <v/>
      </c>
      <c r="G86" s="112" t="n"/>
      <c r="H86" s="112" t="n"/>
      <c r="I86" s="112" t="n"/>
      <c r="J86" s="112" t="n"/>
    </row>
    <row r="87" ht="30" customHeight="1" s="104">
      <c r="A87" s="291" t="inlineStr">
        <is>
          <t>AJE-21</t>
        </is>
      </c>
      <c r="B87" s="295" t="inlineStr">
        <is>
          <t>12/31/25</t>
        </is>
      </c>
      <c r="C87" s="295" t="inlineStr">
        <is>
          <t xml:space="preserve">  DR: Tax-Exempt Interest — Remove from taxable</t>
        </is>
      </c>
      <c r="D87" s="256" t="inlineStr">
        <is>
          <t>88</t>
        </is>
      </c>
      <c r="E87" s="296" t="n">
        <v>0</v>
      </c>
      <c r="F87" s="186" t="n"/>
      <c r="G87" s="281">
        <f>E87</f>
        <v/>
      </c>
      <c r="H87" s="295" t="inlineStr">
        <is>
          <t>Perm</t>
        </is>
      </c>
      <c r="I87" s="256" t="inlineStr">
        <is>
          <t>§103</t>
        </is>
      </c>
      <c r="J87" s="293" t="inlineStr">
        <is>
          <t>Not an income/expense adj. Separately stated on K 18a. Increases partner basis via M-2.</t>
        </is>
      </c>
    </row>
    <row r="88" ht="18" customHeight="1" s="104">
      <c r="A88" s="112" t="n"/>
      <c r="B88" s="112" t="n"/>
      <c r="C88" s="295" t="inlineStr">
        <is>
          <t xml:space="preserve">      CR: Tax-Exempt Income (K 18a, M-2 increase)</t>
        </is>
      </c>
      <c r="D88" s="256" t="inlineStr">
        <is>
          <t>88</t>
        </is>
      </c>
      <c r="E88" s="112" t="n"/>
      <c r="F88" s="296" t="n">
        <v>0</v>
      </c>
      <c r="G88" s="112" t="n"/>
      <c r="H88" s="112" t="n"/>
      <c r="I88" s="112" t="n"/>
      <c r="J88" s="112" t="n"/>
    </row>
    <row r="89" ht="30" customHeight="1" s="104">
      <c r="A89" s="291" t="inlineStr">
        <is>
          <t>AJE-22</t>
        </is>
      </c>
      <c r="B89" s="295" t="inlineStr">
        <is>
          <t>12/31/25</t>
        </is>
      </c>
      <c r="C89" s="295" t="inlineStr">
        <is>
          <t xml:space="preserve">  DR: Partner Health Ins — Remove from P1 deductions</t>
        </is>
      </c>
      <c r="D89" s="256" t="inlineStr">
        <is>
          <t>60</t>
        </is>
      </c>
      <c r="E89" s="294">
        <f>'Working Trial Balance'!G60</f>
        <v/>
      </c>
      <c r="F89" s="186" t="n"/>
      <c r="G89" s="281">
        <f>E89</f>
        <v/>
      </c>
      <c r="H89" s="295" t="inlineStr">
        <is>
          <t>N/A</t>
        </is>
      </c>
      <c r="I89" s="256" t="inlineStr">
        <is>
          <t>§162(l)</t>
        </is>
      </c>
      <c r="J89" s="293" t="inlineStr">
        <is>
          <t>Reclassify from P1 to K-1. Partner takes as SE health ins deduction.</t>
        </is>
      </c>
    </row>
    <row r="90" ht="18" customHeight="1" s="104">
      <c r="A90" s="112" t="n"/>
      <c r="B90" s="112" t="n"/>
      <c r="C90" s="295" t="inlineStr">
        <is>
          <t xml:space="preserve">      CR: K-1 Line 13 Code M (separately stated)</t>
        </is>
      </c>
      <c r="D90" s="256" t="inlineStr">
        <is>
          <t>60</t>
        </is>
      </c>
      <c r="E90" s="112" t="n"/>
      <c r="F90" s="294">
        <f>'Working Trial Balance'!G60</f>
        <v/>
      </c>
      <c r="G90" s="112" t="n"/>
      <c r="H90" s="112" t="n"/>
      <c r="I90" s="112" t="n"/>
      <c r="J90" s="112" t="n"/>
    </row>
    <row r="91" ht="30" customHeight="1" s="104">
      <c r="A91" s="291" t="inlineStr">
        <is>
          <t>AJE-23</t>
        </is>
      </c>
      <c r="B91" s="295" t="inlineStr">
        <is>
          <t>12/31/25</t>
        </is>
      </c>
      <c r="C91" s="295" t="inlineStr">
        <is>
          <t xml:space="preserve">  DR: Charitable Contributions — Remove from P1</t>
        </is>
      </c>
      <c r="D91" s="256" t="inlineStr">
        <is>
          <t>64</t>
        </is>
      </c>
      <c r="E91" s="294">
        <f>'Working Trial Balance'!G64</f>
        <v/>
      </c>
      <c r="F91" s="186" t="n"/>
      <c r="G91" s="281">
        <f>E91</f>
        <v/>
      </c>
      <c r="H91" s="295" t="inlineStr">
        <is>
          <t>N/A</t>
        </is>
      </c>
      <c r="I91" s="256" t="inlineStr">
        <is>
          <t>§170</t>
        </is>
      </c>
      <c r="J91" s="293" t="inlineStr">
        <is>
          <t>Separately stated. Partner applies own AGI limitation.</t>
        </is>
      </c>
    </row>
    <row r="92" ht="18" customHeight="1" s="104">
      <c r="A92" s="112" t="n"/>
      <c r="B92" s="112" t="n"/>
      <c r="C92" s="295" t="inlineStr">
        <is>
          <t xml:space="preserve">      CR: K Line 13a (separately stated)</t>
        </is>
      </c>
      <c r="D92" s="256" t="inlineStr">
        <is>
          <t>64</t>
        </is>
      </c>
      <c r="E92" s="112" t="n"/>
      <c r="F92" s="294">
        <f>'Working Trial Balance'!G64</f>
        <v/>
      </c>
      <c r="G92" s="112" t="n"/>
      <c r="H92" s="112" t="n"/>
      <c r="I92" s="112" t="n"/>
      <c r="J92" s="112" t="n"/>
    </row>
    <row r="93" ht="30" customHeight="1" s="104">
      <c r="A93" s="291" t="inlineStr">
        <is>
          <t>AJE-24</t>
        </is>
      </c>
      <c r="B93" s="295" t="inlineStr">
        <is>
          <t>12/31/25</t>
        </is>
      </c>
      <c r="C93" s="295" t="inlineStr">
        <is>
          <t xml:space="preserve">  DR: Investment Interest — Remove from P1</t>
        </is>
      </c>
      <c r="D93" s="256" t="inlineStr">
        <is>
          <t>65</t>
        </is>
      </c>
      <c r="E93" s="294">
        <f>'Working Trial Balance'!G65</f>
        <v/>
      </c>
      <c r="F93" s="186" t="n"/>
      <c r="G93" s="281">
        <f>E93</f>
        <v/>
      </c>
      <c r="H93" s="295" t="inlineStr">
        <is>
          <t>N/A</t>
        </is>
      </c>
      <c r="I93" s="256" t="inlineStr">
        <is>
          <t>§163(d)</t>
        </is>
      </c>
      <c r="J93" s="293" t="inlineStr">
        <is>
          <t>Separately stated. Partner applies Sec 163(d) net investment income limitation.</t>
        </is>
      </c>
    </row>
    <row r="94" ht="18" customHeight="1" s="104">
      <c r="A94" s="112" t="n"/>
      <c r="B94" s="112" t="n"/>
      <c r="C94" s="295" t="inlineStr">
        <is>
          <t xml:space="preserve">      CR: K Line 13b (separately stated)</t>
        </is>
      </c>
      <c r="D94" s="256" t="inlineStr">
        <is>
          <t>65</t>
        </is>
      </c>
      <c r="E94" s="112" t="n"/>
      <c r="F94" s="294">
        <f>'Working Trial Balance'!G65</f>
        <v/>
      </c>
      <c r="G94" s="112" t="n"/>
      <c r="H94" s="112" t="n"/>
      <c r="I94" s="112" t="n"/>
      <c r="J94" s="112" t="n"/>
    </row>
    <row r="95" ht="30" customHeight="1" s="104">
      <c r="A95" s="291" t="inlineStr">
        <is>
          <t>AJE-25</t>
        </is>
      </c>
      <c r="B95" s="295" t="inlineStr">
        <is>
          <t>12/31/25</t>
        </is>
      </c>
      <c r="C95" s="295" t="inlineStr">
        <is>
          <t xml:space="preserve">  DR: Intangible Assets — Tax basis higher (Sec 197)</t>
        </is>
      </c>
      <c r="D95" s="256" t="inlineStr">
        <is>
          <t>11</t>
        </is>
      </c>
      <c r="E95" s="294">
        <f>'Working Trial Balance'!F11</f>
        <v/>
      </c>
      <c r="F95" s="186" t="n"/>
      <c r="G95" s="281">
        <f>E95</f>
        <v/>
      </c>
      <c r="H95" s="295" t="inlineStr">
        <is>
          <t>Temp</t>
        </is>
      </c>
      <c r="I95" s="256" t="inlineStr">
        <is>
          <t>§197</t>
        </is>
      </c>
      <c r="J95" s="293" t="inlineStr">
        <is>
          <t>B/S only. Tax basis of intangibles exceeds book due to slower Sec 197 amort.</t>
        </is>
      </c>
    </row>
    <row r="96" ht="18" customHeight="1" s="104">
      <c r="A96" s="112" t="n"/>
      <c r="B96" s="112" t="n"/>
      <c r="C96" s="295" t="inlineStr">
        <is>
          <t xml:space="preserve">      CR: Accumulated Amortization — Tax slower</t>
        </is>
      </c>
      <c r="D96" s="256" t="inlineStr">
        <is>
          <t>11</t>
        </is>
      </c>
      <c r="E96" s="112" t="n"/>
      <c r="F96" s="294">
        <f>'Working Trial Balance'!F11</f>
        <v/>
      </c>
      <c r="G96" s="112" t="n"/>
      <c r="H96" s="112" t="n"/>
      <c r="I96" s="112" t="n"/>
      <c r="J96" s="112" t="n"/>
    </row>
    <row r="97"/>
    <row r="98" ht="15" customHeight="1" s="104">
      <c r="A98" s="221" t="inlineStr">
        <is>
          <t>AJE TOTALS</t>
        </is>
      </c>
      <c r="B98" s="283" t="n"/>
      <c r="C98" s="283" t="n"/>
      <c r="D98" s="283" t="n"/>
      <c r="E98" s="253">
        <f>SUM(E47:E96)</f>
        <v/>
      </c>
      <c r="F98" s="253">
        <f>SUM(F47:F96)</f>
        <v/>
      </c>
      <c r="G98" s="253">
        <f>E98-F98</f>
        <v/>
      </c>
      <c r="H98" s="283" t="n"/>
      <c r="I98" s="283" t="n"/>
      <c r="J98" s="283" t="n"/>
      <c r="K98" s="283" t="n"/>
      <c r="L98" s="283" t="n"/>
    </row>
    <row r="99" ht="15" customHeight="1" s="104">
      <c r="A99" s="224" t="inlineStr">
        <is>
          <t>CHECK: DR Total = CR Total (should be ZERO)</t>
        </is>
      </c>
      <c r="B99" s="283" t="n"/>
      <c r="C99" s="283" t="n"/>
      <c r="D99" s="283" t="n"/>
      <c r="E99" s="283" t="n"/>
      <c r="F99" s="283" t="n"/>
      <c r="G99" s="253">
        <f>E98-F98</f>
        <v/>
      </c>
      <c r="H99" s="283" t="n"/>
      <c r="I99" s="283" t="n"/>
      <c r="J99" s="283" t="n"/>
      <c r="K99" s="283" t="n"/>
      <c r="L99" s="283" t="n"/>
    </row>
    <row r="100"/>
    <row r="101"/>
    <row r="102" ht="24" customHeight="1" s="104">
      <c r="A102" s="286" t="inlineStr">
        <is>
          <t>SECTION C — ADJUSTMENT SUMMARY &amp; CROSS-REFERENCE TO 1065</t>
        </is>
      </c>
      <c r="B102" s="270" t="n"/>
      <c r="C102" s="270" t="n"/>
      <c r="D102" s="270" t="n"/>
      <c r="E102" s="270" t="n"/>
      <c r="F102" s="270" t="n"/>
      <c r="G102" s="270" t="n"/>
      <c r="H102" s="270" t="n"/>
      <c r="I102" s="270" t="n"/>
      <c r="J102" s="270" t="n"/>
      <c r="K102" s="270" t="n"/>
      <c r="L102" s="270" t="n"/>
    </row>
    <row r="103"/>
    <row r="104" ht="15" customHeight="1" s="104">
      <c r="A104" s="287" t="inlineStr">
        <is>
          <t>1065 Section</t>
        </is>
      </c>
      <c r="B104" s="288" t="inlineStr">
        <is>
          <t>Book Amount</t>
        </is>
      </c>
      <c r="C104" s="288" t="inlineStr">
        <is>
          <t>Total Adjustments</t>
        </is>
      </c>
      <c r="D104" s="288" t="inlineStr">
        <is>
          <t>Tax Amount</t>
        </is>
      </c>
      <c r="E104" s="288" t="inlineStr">
        <is>
          <t>Tied To</t>
        </is>
      </c>
      <c r="F104" s="288" t="inlineStr">
        <is>
          <t>Status</t>
        </is>
      </c>
    </row>
    <row r="105" ht="21.75" customHeight="1" s="104">
      <c r="A105" s="298" t="inlineStr">
        <is>
          <t>Page 1 — Income (L8)</t>
        </is>
      </c>
      <c r="B105" s="294">
        <f>'Working Trial Balance'!D35</f>
        <v/>
      </c>
      <c r="C105" s="281">
        <f>'Working Trial Balance'!H35-'Working Trial Balance'!D35</f>
        <v/>
      </c>
      <c r="D105" s="294">
        <f>'Working Trial Balance'!H35</f>
        <v/>
      </c>
      <c r="E105" s="256" t="inlineStr">
        <is>
          <t>WTB R35</t>
        </is>
      </c>
      <c r="F105" s="299">
        <f>IF(D105=B105+C105,"✓","✗")</f>
        <v/>
      </c>
    </row>
    <row r="106" ht="21.75" customHeight="1" s="104">
      <c r="A106" s="298" t="inlineStr">
        <is>
          <t>Page 1 — Deductions (L21)</t>
        </is>
      </c>
      <c r="B106" s="294">
        <f>'Working Trial Balance'!D66</f>
        <v/>
      </c>
      <c r="C106" s="281">
        <f>'Working Trial Balance'!H66-'Working Trial Balance'!D66</f>
        <v/>
      </c>
      <c r="D106" s="294">
        <f>'Working Trial Balance'!H66</f>
        <v/>
      </c>
      <c r="E106" s="256" t="inlineStr">
        <is>
          <t>WTB R66</t>
        </is>
      </c>
      <c r="F106" s="299">
        <f>IF(D106=B106+C106,"✓","✗")</f>
        <v/>
      </c>
    </row>
    <row r="107" ht="21.75" customHeight="1" s="104">
      <c r="A107" s="298" t="inlineStr">
        <is>
          <t>Page 1 — OBI (L22)</t>
        </is>
      </c>
      <c r="B107" s="294">
        <f>'Working Trial Balance'!D67</f>
        <v/>
      </c>
      <c r="C107" s="281">
        <f>'Working Trial Balance'!H67-'Working Trial Balance'!D67</f>
        <v/>
      </c>
      <c r="D107" s="294">
        <f>'Working Trial Balance'!H67</f>
        <v/>
      </c>
      <c r="E107" s="256" t="inlineStr">
        <is>
          <t>WTB R67</t>
        </is>
      </c>
      <c r="F107" s="299">
        <f>IF(D107=B107+C107,"✓","✗")</f>
        <v/>
      </c>
    </row>
    <row r="108" ht="21.75" customHeight="1" s="104">
      <c r="A108" s="226" t="inlineStr">
        <is>
          <t>Schedule K — Total</t>
        </is>
      </c>
      <c r="B108" s="253">
        <f>'Working Trial Balance'!D82</f>
        <v/>
      </c>
      <c r="C108" s="253">
        <f>'Working Trial Balance'!H82-'Working Trial Balance'!D82</f>
        <v/>
      </c>
      <c r="D108" s="253">
        <f>'Working Trial Balance'!H82</f>
        <v/>
      </c>
      <c r="E108" s="253" t="inlineStr">
        <is>
          <t>WTB R82</t>
        </is>
      </c>
      <c r="F108" s="253">
        <f>IF(D108=B108+C108,"✓","✗")</f>
        <v/>
      </c>
      <c r="G108" s="283" t="n"/>
      <c r="H108" s="283" t="n"/>
      <c r="I108" s="283" t="n"/>
      <c r="J108" s="283" t="n"/>
      <c r="K108" s="283" t="n"/>
      <c r="L108" s="283" t="n"/>
    </row>
    <row r="109" ht="21.75" customHeight="1" s="104">
      <c r="A109" s="226" t="inlineStr">
        <is>
          <t>Schedule L — Total Assets</t>
        </is>
      </c>
      <c r="B109" s="253">
        <f>'Working Trial Balance'!D12</f>
        <v/>
      </c>
      <c r="C109" s="253">
        <f>'Working Trial Balance'!H12-'Working Trial Balance'!D12</f>
        <v/>
      </c>
      <c r="D109" s="253">
        <f>'Working Trial Balance'!H12</f>
        <v/>
      </c>
      <c r="E109" s="253" t="inlineStr">
        <is>
          <t>WTB R12</t>
        </is>
      </c>
      <c r="F109" s="253">
        <f>IF(D109=B109+C109,"✓","✗")</f>
        <v/>
      </c>
      <c r="G109" s="283" t="n"/>
      <c r="H109" s="283" t="n"/>
      <c r="I109" s="283" t="n"/>
      <c r="J109" s="283" t="n"/>
      <c r="K109" s="283" t="n"/>
      <c r="L109" s="283" t="n"/>
    </row>
    <row r="110" ht="21.75" customHeight="1" s="104">
      <c r="A110" s="300" t="inlineStr">
        <is>
          <t>Schedule L — Liabilities</t>
        </is>
      </c>
      <c r="B110" s="301">
        <f>'Working Trial Balance'!D15</f>
        <v/>
      </c>
      <c r="C110" s="301">
        <f>'Working Trial Balance'!H15-'Working Trial Balance'!D15</f>
        <v/>
      </c>
      <c r="D110" s="301">
        <f>'Working Trial Balance'!H15</f>
        <v/>
      </c>
      <c r="E110" s="265" t="inlineStr">
        <is>
          <t>WTB R15</t>
        </is>
      </c>
      <c r="F110" s="302">
        <f>IF(D110=B110+C110,"✓","✗")</f>
        <v/>
      </c>
      <c r="G110" s="270" t="n"/>
      <c r="H110" s="270" t="n"/>
      <c r="I110" s="270" t="n"/>
      <c r="J110" s="270" t="n"/>
      <c r="K110" s="270" t="n"/>
      <c r="L110" s="270" t="n"/>
    </row>
    <row r="111" ht="21.75" customHeight="1" s="104">
      <c r="A111" s="298" t="inlineStr">
        <is>
          <t>M-2 — Ending Capital</t>
        </is>
      </c>
      <c r="B111" s="294">
        <f>'Working Trial Balance'!D114</f>
        <v/>
      </c>
      <c r="C111" s="281">
        <f>'Working Trial Balance'!H114-'Working Trial Balance'!D114</f>
        <v/>
      </c>
      <c r="D111" s="294">
        <f>'Working Trial Balance'!H114</f>
        <v/>
      </c>
      <c r="E111" s="256" t="inlineStr">
        <is>
          <t>WTB R114</t>
        </is>
      </c>
      <c r="F111" s="299">
        <f>IF(D111=B111+C111,"✓","✗")</f>
        <v/>
      </c>
    </row>
    <row r="112" ht="21.75" customHeight="1" s="104">
      <c r="A112" s="226" t="inlineStr">
        <is>
          <t>M-1 Line 9 = K Total</t>
        </is>
      </c>
      <c r="B112" s="283" t="n"/>
      <c r="C112" s="283" t="n"/>
      <c r="D112" s="283" t="n"/>
      <c r="E112" s="253" t="inlineStr">
        <is>
          <t>WTB R103</t>
        </is>
      </c>
      <c r="F112" s="253">
        <f>IF('Working Trial Balance'!H103=0,"✓","✗")</f>
        <v/>
      </c>
      <c r="G112" s="283" t="n"/>
      <c r="H112" s="283" t="n"/>
      <c r="I112" s="283" t="n"/>
      <c r="J112" s="283" t="n"/>
      <c r="K112" s="283" t="n"/>
      <c r="L112" s="283" t="n"/>
    </row>
    <row r="113"/>
    <row r="114"/>
    <row r="115" ht="24" customHeight="1" s="104">
      <c r="A115" s="286" t="inlineStr">
        <is>
          <t>SECTION D — PBC DOCUMENTS NEEDED TO SUPPORT ADJUSTMENTS</t>
        </is>
      </c>
      <c r="B115" s="270" t="n"/>
      <c r="C115" s="270" t="n"/>
      <c r="D115" s="270" t="n"/>
      <c r="E115" s="270" t="n"/>
      <c r="F115" s="270" t="n"/>
      <c r="G115" s="270" t="n"/>
      <c r="H115" s="270" t="n"/>
      <c r="I115" s="270" t="n"/>
      <c r="J115" s="270" t="n"/>
      <c r="K115" s="270" t="n"/>
      <c r="L115" s="270" t="n"/>
    </row>
    <row r="116"/>
    <row r="117" ht="15" customHeight="1" s="104">
      <c r="A117" s="287" t="inlineStr">
        <is>
          <t>#</t>
        </is>
      </c>
      <c r="B117" s="288" t="inlineStr">
        <is>
          <t>Document / Information Needed</t>
        </is>
      </c>
      <c r="C117" s="288" t="inlineStr">
        <is>
          <t>Supports AJE(s)</t>
        </is>
      </c>
      <c r="D117" s="288" t="inlineStr">
        <is>
          <t>Received?</t>
        </is>
      </c>
      <c r="E117" s="288" t="inlineStr">
        <is>
          <t>Notes</t>
        </is>
      </c>
    </row>
    <row r="118" ht="21.75" customHeight="1" s="104">
      <c r="A118" s="291" t="inlineStr">
        <is>
          <t>1</t>
        </is>
      </c>
      <c r="B118" s="295" t="inlineStr">
        <is>
          <t>Trial Balance / General Ledger (P&amp;L + Balance Sheet)</t>
        </is>
      </c>
      <c r="C118" s="256" t="inlineStr">
        <is>
          <t>All</t>
        </is>
      </c>
      <c r="D118" s="193" t="n"/>
      <c r="E118" s="293" t="inlineStr">
        <is>
          <t>Chart of accounts with ending balances</t>
        </is>
      </c>
    </row>
    <row r="119" ht="21.75" customHeight="1" s="104">
      <c r="A119" s="291" t="inlineStr">
        <is>
          <t>2</t>
        </is>
      </c>
      <c r="B119" s="295" t="inlineStr">
        <is>
          <t>Prior Year Tax Return (Form 1065 + K-1s)</t>
        </is>
      </c>
      <c r="C119" s="256" t="inlineStr">
        <is>
          <t>All PY items</t>
        </is>
      </c>
      <c r="D119" s="193" t="n"/>
      <c r="E119" s="293" t="inlineStr">
        <is>
          <t>Need for beginning balances, carryovers, depr schedules</t>
        </is>
      </c>
    </row>
    <row r="120" ht="21.75" customHeight="1" s="104">
      <c r="A120" s="291" t="inlineStr">
        <is>
          <t>3</t>
        </is>
      </c>
      <c r="B120" s="295" t="inlineStr">
        <is>
          <t>Fixed Asset / Depreciation Schedule</t>
        </is>
      </c>
      <c r="C120" s="256" t="inlineStr">
        <is>
          <t>AJE-01, 02, 03, 05</t>
        </is>
      </c>
      <c r="D120" s="193" t="n"/>
      <c r="E120" s="293" t="inlineStr">
        <is>
          <t>Book vs tax depr, dispositions, Sec 179 elections, placed-in-service</t>
        </is>
      </c>
    </row>
    <row r="121" ht="21.75" customHeight="1" s="104">
      <c r="A121" s="291" t="inlineStr">
        <is>
          <t>4</t>
        </is>
      </c>
      <c r="B121" s="295" t="inlineStr">
        <is>
          <t>Partnership / Operating Agreement</t>
        </is>
      </c>
      <c r="C121" s="256" t="inlineStr">
        <is>
          <t>AJE-22, 23, 24</t>
        </is>
      </c>
      <c r="D121" s="193" t="n"/>
      <c r="E121" s="293" t="inlineStr">
        <is>
          <t>Allocation ratios, guaranteed payment terms, special allocations</t>
        </is>
      </c>
    </row>
    <row r="122" ht="21.75" customHeight="1" s="104">
      <c r="A122" s="291" t="inlineStr">
        <is>
          <t>5</t>
        </is>
      </c>
      <c r="B122" s="295" t="inlineStr">
        <is>
          <t>Bank Statements (12 months + YE)</t>
        </is>
      </c>
      <c r="C122" s="256" t="inlineStr">
        <is>
          <t>AJE-06, 07</t>
        </is>
      </c>
      <c r="D122" s="193" t="n"/>
      <c r="E122" s="293" t="inlineStr">
        <is>
          <t>Verify cash, contributions, distributions, interest</t>
        </is>
      </c>
    </row>
    <row r="123" ht="21.75" customHeight="1" s="104">
      <c r="A123" s="291" t="inlineStr">
        <is>
          <t>6</t>
        </is>
      </c>
      <c r="B123" s="295" t="inlineStr">
        <is>
          <t>Accounts Receivable Aging + Write-Offs</t>
        </is>
      </c>
      <c r="C123" s="256" t="inlineStr">
        <is>
          <t>AJE-08, 11</t>
        </is>
      </c>
      <c r="D123" s="193" t="n"/>
      <c r="E123" s="293" t="inlineStr">
        <is>
          <t>Specific charge-offs, reserve calculation support</t>
        </is>
      </c>
    </row>
    <row r="124" ht="21.75" customHeight="1" s="104">
      <c r="A124" s="291" t="inlineStr">
        <is>
          <t>7</t>
        </is>
      </c>
      <c r="B124" s="295" t="inlineStr">
        <is>
          <t>Inventory Count / Valuation Report</t>
        </is>
      </c>
      <c r="C124" s="256" t="inlineStr">
        <is>
          <t>AJE-06</t>
        </is>
      </c>
      <c r="D124" s="193" t="n"/>
      <c r="E124" s="293" t="inlineStr">
        <is>
          <t>UNICAP calculation, beg vs end inventory, COGS detail</t>
        </is>
      </c>
    </row>
    <row r="125" ht="21.75" customHeight="1" s="104">
      <c r="A125" s="291" t="inlineStr">
        <is>
          <t>8</t>
        </is>
      </c>
      <c r="B125" s="295" t="inlineStr">
        <is>
          <t>Accounts Payable Aging (YE)</t>
        </is>
      </c>
      <c r="C125" s="256" t="inlineStr">
        <is>
          <t>AJE-07</t>
        </is>
      </c>
      <c r="D125" s="193" t="n"/>
      <c r="E125" s="293" t="inlineStr">
        <is>
          <t>Related-party payables, accrued bonuses, Sec 267 items</t>
        </is>
      </c>
    </row>
    <row r="126" ht="21.75" customHeight="1" s="104">
      <c r="A126" s="291" t="inlineStr">
        <is>
          <t>9</t>
        </is>
      </c>
      <c r="B126" s="295" t="inlineStr">
        <is>
          <t>Loan Amortization Schedules</t>
        </is>
      </c>
      <c r="C126" s="174" t="n"/>
      <c r="D126" s="193" t="n"/>
      <c r="E126" s="293" t="inlineStr">
        <is>
          <t>Mortgage, LOC, notes payable — interest allocation</t>
        </is>
      </c>
    </row>
    <row r="127" ht="21.75" customHeight="1" s="104">
      <c r="A127" s="291" t="inlineStr">
        <is>
          <t>10</t>
        </is>
      </c>
      <c r="B127" s="295" t="inlineStr">
        <is>
          <t>Rental Property Schedule (Form 8825)</t>
        </is>
      </c>
      <c r="C127" s="256" t="inlineStr">
        <is>
          <t>AJE-05</t>
        </is>
      </c>
      <c r="D127" s="193" t="n"/>
      <c r="E127" s="293" t="inlineStr">
        <is>
          <t>Income, expenses, depreciation for each rental property</t>
        </is>
      </c>
    </row>
    <row r="128" ht="21.75" customHeight="1" s="104">
      <c r="A128" s="291" t="inlineStr">
        <is>
          <t>11</t>
        </is>
      </c>
      <c r="B128" s="295" t="inlineStr">
        <is>
          <t>Investment Statements (YE)</t>
        </is>
      </c>
      <c r="C128" s="256" t="inlineStr">
        <is>
          <t>AJE-04, 21, 25</t>
        </is>
      </c>
      <c r="D128" s="193" t="n"/>
      <c r="E128" s="293" t="inlineStr">
        <is>
          <t>Dividends (ordinary vs qualified), interest, gains/losses, muni bonds</t>
        </is>
      </c>
    </row>
    <row r="129" ht="21.75" customHeight="1" s="104">
      <c r="A129" s="291" t="inlineStr">
        <is>
          <t>12</t>
        </is>
      </c>
      <c r="B129" s="295" t="inlineStr">
        <is>
          <t>Legal Correspondence / Litigation Status</t>
        </is>
      </c>
      <c r="C129" s="256" t="inlineStr">
        <is>
          <t>AJE-10</t>
        </is>
      </c>
      <c r="D129" s="193" t="n"/>
      <c r="E129" s="293" t="inlineStr">
        <is>
          <t>Settlement amounts, pending claims, reserves</t>
        </is>
      </c>
    </row>
    <row r="130" ht="21.75" customHeight="1" s="104">
      <c r="A130" s="291" t="inlineStr">
        <is>
          <t>13</t>
        </is>
      </c>
      <c r="B130" s="295" t="inlineStr">
        <is>
          <t>Warranty Claims Report</t>
        </is>
      </c>
      <c r="C130" s="256" t="inlineStr">
        <is>
          <t>AJE-09</t>
        </is>
      </c>
      <c r="D130" s="193" t="n"/>
      <c r="E130" s="293" t="inlineStr">
        <is>
          <t>Claims paid during year vs reserve accrual</t>
        </is>
      </c>
    </row>
    <row r="131" ht="21.75" customHeight="1" s="104">
      <c r="A131" s="291" t="inlineStr">
        <is>
          <t>14</t>
        </is>
      </c>
      <c r="B131" s="295" t="inlineStr">
        <is>
          <t>Charitable Donation Receipts</t>
        </is>
      </c>
      <c r="C131" s="256" t="inlineStr">
        <is>
          <t>AJE-23</t>
        </is>
      </c>
      <c r="D131" s="193" t="n"/>
      <c r="E131" s="293" t="inlineStr">
        <is>
          <t>Receipts for &gt;$250. Form 8283 for noncash &gt;$500</t>
        </is>
      </c>
    </row>
    <row r="132" ht="21.75" customHeight="1" s="104">
      <c r="A132" s="291" t="inlineStr">
        <is>
          <t>15</t>
        </is>
      </c>
      <c r="B132" s="295" t="inlineStr">
        <is>
          <t>Meals &amp; Entertainment Log</t>
        </is>
      </c>
      <c r="C132" s="256" t="inlineStr">
        <is>
          <t>AJE-14, 15, 16</t>
        </is>
      </c>
      <c r="D132" s="193" t="n"/>
      <c r="E132" s="293" t="inlineStr">
        <is>
          <t>Business purpose, attendees, classification</t>
        </is>
      </c>
    </row>
    <row r="133" ht="21.75" customHeight="1" s="104">
      <c r="A133" s="291" t="inlineStr">
        <is>
          <t>16</t>
        </is>
      </c>
      <c r="B133" s="295" t="inlineStr">
        <is>
          <t>Partner Health Insurance Premiums</t>
        </is>
      </c>
      <c r="C133" s="256" t="inlineStr">
        <is>
          <t>AJE-22</t>
        </is>
      </c>
      <c r="D133" s="193" t="n"/>
      <c r="E133" s="293" t="inlineStr">
        <is>
          <t>Per-partner premium amounts for K-1</t>
        </is>
      </c>
    </row>
    <row r="134" ht="21.75" customHeight="1" s="104">
      <c r="A134" s="291" t="inlineStr">
        <is>
          <t>17</t>
        </is>
      </c>
      <c r="B134" s="295" t="inlineStr">
        <is>
          <t>Partner Capital Account Roll-Forward</t>
        </is>
      </c>
      <c r="C134" s="174" t="n"/>
      <c r="D134" s="193" t="n"/>
      <c r="E134" s="293" t="inlineStr">
        <is>
          <t>Contributions, distributions, verify per partner</t>
        </is>
      </c>
    </row>
    <row r="135" ht="21.75" customHeight="1" s="104">
      <c r="A135" s="291" t="inlineStr">
        <is>
          <t>18</t>
        </is>
      </c>
      <c r="B135" s="295" t="inlineStr">
        <is>
          <t>Debt Cancellation (Form 1099-C)</t>
        </is>
      </c>
      <c r="C135" s="256" t="inlineStr">
        <is>
          <t>AJE-04</t>
        </is>
      </c>
      <c r="D135" s="193" t="n"/>
      <c r="E135" s="293" t="inlineStr">
        <is>
          <t>Insolvency worksheets, Form 982</t>
        </is>
      </c>
    </row>
    <row r="136" ht="21.75" customHeight="1" s="104">
      <c r="A136" s="291" t="inlineStr">
        <is>
          <t>19</t>
        </is>
      </c>
      <c r="B136" s="295" t="inlineStr">
        <is>
          <t>State Tax Returns / Payments</t>
        </is>
      </c>
      <c r="C136" s="256" t="inlineStr">
        <is>
          <t>AJE-20</t>
        </is>
      </c>
      <c r="D136" s="193" t="n"/>
      <c r="E136" s="293" t="inlineStr">
        <is>
          <t>State franchise tax, income tax payments</t>
        </is>
      </c>
    </row>
    <row r="137" ht="21.75" customHeight="1" s="104">
      <c r="A137" s="291" t="inlineStr">
        <is>
          <t>20</t>
        </is>
      </c>
      <c r="B137" s="295" t="inlineStr">
        <is>
          <t>Sub-Partnership K-1s Received</t>
        </is>
      </c>
      <c r="C137" s="174" t="n"/>
      <c r="D137" s="193" t="n"/>
      <c r="E137" s="293" t="inlineStr">
        <is>
          <t>Allocable share of income, deductions, credits</t>
        </is>
      </c>
    </row>
  </sheetData>
  <mergeCells count="17">
    <mergeCell ref="A39:E39"/>
    <mergeCell ref="A2:L2"/>
    <mergeCell ref="A16:L16"/>
    <mergeCell ref="A102:J102"/>
    <mergeCell ref="A115:F115"/>
    <mergeCell ref="A25:L25"/>
    <mergeCell ref="A43:L43"/>
    <mergeCell ref="A33:L33"/>
    <mergeCell ref="A1:L1"/>
    <mergeCell ref="A5:L5"/>
    <mergeCell ref="A44:L44"/>
    <mergeCell ref="A6:L6"/>
    <mergeCell ref="A3:L3"/>
    <mergeCell ref="A9:L9"/>
    <mergeCell ref="A99:D99"/>
    <mergeCell ref="A40:E40"/>
    <mergeCell ref="A98:D9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K2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03" min="1" max="1"/>
    <col width="14" customWidth="1" style="103" min="2" max="2"/>
    <col width="14" customWidth="1" style="103" min="3" max="3"/>
    <col width="14" customWidth="1" style="103" min="4" max="10"/>
    <col width="14" customWidth="1" style="104" min="5" max="5"/>
    <col width="14" customWidth="1" style="104" min="6" max="6"/>
    <col width="14" customWidth="1" style="104" min="7" max="7"/>
    <col width="14" customWidth="1" style="104" min="8" max="8"/>
    <col width="14" customWidth="1" style="104" min="9" max="9"/>
    <col width="14" customWidth="1" style="104" min="10" max="10"/>
    <col width="14" customWidth="1" style="103" min="11" max="11"/>
  </cols>
  <sheetData>
    <row r="1" ht="25.5" customHeight="1" s="104">
      <c r="A1" s="303" t="inlineStr">
        <is>
          <t>TAX STRATEGIES WORKPAPER — 1065 ENTITY-LEVEL STRATEGIES</t>
        </is>
      </c>
    </row>
    <row r="2" ht="15.75" customHeight="1" s="104">
      <c r="A2" s="285" t="inlineStr">
        <is>
          <t>Strategies that create adjustments on the Form 1065 partnership return. Hide sections not applicable to client.</t>
        </is>
      </c>
    </row>
    <row r="3" ht="15" customHeight="1" s="104">
      <c r="A3" s="285" t="inlineStr">
        <is>
          <t>LEGEND:  Blue = Manual entry  |  Gold = Linked to WTB  |  Green = Auto-calc  |  Orange = Adjustment row</t>
        </is>
      </c>
    </row>
    <row r="4"/>
    <row r="5" ht="25.5" customHeight="1" s="104">
      <c r="A5" s="303" t="inlineStr">
        <is>
          <t>1. AUGUSTA RULE — IRC §280A(g) (14-Day Home Rental to Entity)</t>
        </is>
      </c>
    </row>
    <row r="6"/>
    <row r="7" ht="21.75" customHeight="1" s="104">
      <c r="A7" s="304" t="inlineStr">
        <is>
          <t>FIRM PARAMETERS</t>
        </is>
      </c>
      <c r="B7" s="169" t="n"/>
      <c r="C7" s="169" t="n"/>
      <c r="D7" s="169" t="n"/>
      <c r="E7" s="169" t="n"/>
      <c r="F7" s="169" t="n"/>
      <c r="G7" s="169" t="n"/>
      <c r="H7" s="169" t="n"/>
      <c r="I7" s="169" t="n"/>
      <c r="J7" s="169" t="n"/>
      <c r="K7" s="170" t="n"/>
    </row>
    <row r="8" ht="15" customHeight="1" s="104">
      <c r="A8" s="167" t="n"/>
      <c r="B8" s="288" t="inlineStr">
        <is>
          <t>Criteria</t>
        </is>
      </c>
      <c r="C8" s="288" t="inlineStr">
        <is>
          <t>Amount / Rule</t>
        </is>
      </c>
      <c r="D8" s="167" t="n"/>
      <c r="E8" s="167" t="n"/>
      <c r="F8" s="167" t="n"/>
      <c r="G8" s="167" t="n"/>
      <c r="H8" s="167" t="n"/>
      <c r="I8" s="167" t="n"/>
      <c r="J8" s="167" t="n"/>
      <c r="K8" s="288" t="inlineStr">
        <is>
          <t>Notes</t>
        </is>
      </c>
    </row>
    <row r="9" ht="21.75" customHeight="1" s="104">
      <c r="A9" s="109" t="n"/>
      <c r="B9" s="277" t="inlineStr">
        <is>
          <t>Income &gt; $1M/yr</t>
        </is>
      </c>
      <c r="C9" s="248" t="inlineStr">
        <is>
          <t>$2,000/day × 14 days = $28,000 max</t>
        </is>
      </c>
      <c r="D9" s="169" t="n"/>
      <c r="E9" s="169" t="n"/>
      <c r="F9" s="169" t="n"/>
      <c r="G9" s="169" t="n"/>
      <c r="H9" s="169" t="n"/>
      <c r="I9" s="169" t="n"/>
      <c r="J9" s="169" t="n"/>
      <c r="K9" s="256" t="inlineStr">
        <is>
          <t>Must own primary residence (not leased)</t>
        </is>
      </c>
    </row>
    <row r="10" ht="21.75" customHeight="1" s="104">
      <c r="A10" s="109" t="n"/>
      <c r="B10" s="277" t="inlineStr">
        <is>
          <t>Income &lt; $1M/yr</t>
        </is>
      </c>
      <c r="C10" s="248" t="inlineStr">
        <is>
          <t>$1,000/day × 14 days = $14,000 max</t>
        </is>
      </c>
      <c r="D10" s="169" t="n"/>
      <c r="E10" s="169" t="n"/>
      <c r="F10" s="169" t="n"/>
      <c r="G10" s="169" t="n"/>
      <c r="H10" s="169" t="n"/>
      <c r="I10" s="169" t="n"/>
      <c r="J10" s="169" t="n"/>
      <c r="K10" s="256" t="inlineStr">
        <is>
          <t>Must own primary residence (not leased)</t>
        </is>
      </c>
    </row>
    <row r="11" ht="21.75" customHeight="1" s="104">
      <c r="A11" s="109" t="n"/>
      <c r="B11" s="277" t="inlineStr">
        <is>
          <t>Eligible entities</t>
        </is>
      </c>
      <c r="C11" s="248" t="inlineStr">
        <is>
          <t>Multi-member LLCs, S-Corps, C-Corps</t>
        </is>
      </c>
      <c r="D11" s="169" t="n"/>
      <c r="E11" s="169" t="n"/>
      <c r="F11" s="169" t="n"/>
      <c r="G11" s="169" t="n"/>
      <c r="H11" s="169" t="n"/>
      <c r="I11" s="169" t="n"/>
      <c r="J11" s="169" t="n"/>
      <c r="K11" s="256" t="inlineStr">
        <is>
          <t>NOT sole prop or Single Member LLC</t>
        </is>
      </c>
    </row>
    <row r="12" ht="21.75" customHeight="1" s="104">
      <c r="A12" s="109" t="n"/>
      <c r="B12" s="277" t="inlineStr">
        <is>
          <t>Documentation</t>
        </is>
      </c>
      <c r="C12" s="248" t="inlineStr">
        <is>
          <t>Lease, FMV comps, agendas, minutes, attendee list</t>
        </is>
      </c>
      <c r="D12" s="169" t="n"/>
      <c r="E12" s="169" t="n"/>
      <c r="F12" s="169" t="n"/>
      <c r="G12" s="169" t="n"/>
      <c r="H12" s="169" t="n"/>
      <c r="I12" s="169" t="n"/>
      <c r="J12" s="169" t="n"/>
      <c r="K12" s="256" t="inlineStr">
        <is>
          <t>Payment trail from entity to member</t>
        </is>
      </c>
    </row>
    <row r="13"/>
    <row r="14" ht="21.75" customHeight="1" s="104">
      <c r="A14" s="297" t="inlineStr">
        <is>
          <t>1065 ADJUSTMENTS</t>
        </is>
      </c>
      <c r="B14" s="169" t="n"/>
      <c r="C14" s="169" t="n"/>
      <c r="D14" s="169" t="n"/>
      <c r="E14" s="169" t="n"/>
      <c r="F14" s="169" t="n"/>
      <c r="G14" s="169" t="n"/>
      <c r="H14" s="169" t="n"/>
      <c r="I14" s="169" t="n"/>
      <c r="J14" s="169" t="n"/>
      <c r="K14" s="170" t="n"/>
    </row>
    <row r="15" ht="15" customHeight="1" s="104">
      <c r="A15" s="287" t="inlineStr">
        <is>
          <t>#</t>
        </is>
      </c>
      <c r="B15" s="288" t="inlineStr">
        <is>
          <t>1065 Line</t>
        </is>
      </c>
      <c r="C15" s="288" t="inlineStr">
        <is>
          <t>Description</t>
        </is>
      </c>
      <c r="D15" s="288" t="inlineStr">
        <is>
          <t>Book Amt</t>
        </is>
      </c>
      <c r="E15" s="288" t="inlineStr">
        <is>
          <t>Tax Adj</t>
        </is>
      </c>
      <c r="F15" s="288" t="inlineStr">
        <is>
          <t>Tax Amt</t>
        </is>
      </c>
      <c r="G15" s="288" t="inlineStr">
        <is>
          <t>M-1 Line</t>
        </is>
      </c>
      <c r="H15" s="288" t="inlineStr">
        <is>
          <t>K Line</t>
        </is>
      </c>
      <c r="I15" s="288" t="inlineStr">
        <is>
          <t>WTB Row</t>
        </is>
      </c>
      <c r="J15" s="288" t="inlineStr">
        <is>
          <t>AJE Ref</t>
        </is>
      </c>
      <c r="K15" s="288" t="inlineStr">
        <is>
          <t>How to Handle</t>
        </is>
      </c>
    </row>
    <row r="16" ht="60" customHeight="1" s="104">
      <c r="A16" s="291" t="inlineStr">
        <is>
          <t>1</t>
        </is>
      </c>
      <c r="B16" s="248" t="inlineStr">
        <is>
          <t>P1 L20
(Other Ded)</t>
        </is>
      </c>
      <c r="C16" s="277" t="inlineStr">
        <is>
          <t>Augusta Rule rent — deduction to partnership</t>
        </is>
      </c>
      <c r="D16" s="296" t="inlineStr">
        <is>
          <t>If on books</t>
        </is>
      </c>
      <c r="E16" s="296" t="inlineStr">
        <is>
          <t>If not on
books</t>
        </is>
      </c>
      <c r="F16" s="281" t="inlineStr">
        <is>
          <t>Auto</t>
        </is>
      </c>
      <c r="G16" s="256" t="inlineStr">
        <is>
          <t>None if on books.
M-1 L7 if tax-only.</t>
        </is>
      </c>
      <c r="H16" s="256" t="inlineStr">
        <is>
          <t>Reduces OBI
(K L1)</t>
        </is>
      </c>
      <c r="I16" s="256" t="inlineStr">
        <is>
          <t>Row 50</t>
        </is>
      </c>
      <c r="J16" s="256" t="inlineStr">
        <is>
          <t>New</t>
        </is>
      </c>
      <c r="K16" s="248" t="inlineStr">
        <is>
          <t>If client books the rent expense → flows through P1 L20 naturally, no M-1 adj. If tax-only deduction (not on books) → WTB Row 50 Adj(+), M-1 Line 7 "deduction on return not on books." Either way: reduces OBI → reduces each partner K-1 Box 1.</t>
        </is>
      </c>
    </row>
    <row r="17" ht="60" customHeight="1" s="104">
      <c r="A17" s="291" t="inlineStr">
        <is>
          <t>2</t>
        </is>
      </c>
      <c r="B17" s="248" t="inlineStr">
        <is>
          <t>Partner
(not on 1065)</t>
        </is>
      </c>
      <c r="C17" s="277" t="inlineStr">
        <is>
          <t>Partner receives rent — TAX FREE under §280A(g)</t>
        </is>
      </c>
      <c r="D17" s="193" t="n"/>
      <c r="E17" s="193" t="n"/>
      <c r="F17" s="201" t="n"/>
      <c r="G17" s="198" t="n"/>
      <c r="H17" s="198" t="n"/>
      <c r="I17" s="174" t="n"/>
      <c r="J17" s="174" t="n"/>
      <c r="K17" s="248" t="inlineStr">
        <is>
          <t>Partner does NOT report rental income anywhere. Excluded from gross income. No Schedule E, no 1099-MISC required. Some practitioners issue 1099 and zero out on Sch E — either works.</t>
        </is>
      </c>
    </row>
    <row r="18"/>
    <row r="19" ht="21.75" customHeight="1" s="104">
      <c r="A19" s="297" t="inlineStr">
        <is>
          <t>DOCUMENTATION CHECKLIST</t>
        </is>
      </c>
      <c r="B19" s="169" t="n"/>
      <c r="C19" s="169" t="n"/>
      <c r="D19" s="169" t="n"/>
      <c r="E19" s="169" t="n"/>
      <c r="F19" s="169" t="n"/>
      <c r="G19" s="169" t="n"/>
      <c r="H19" s="169" t="n"/>
      <c r="I19" s="169" t="n"/>
      <c r="J19" s="169" t="n"/>
      <c r="K19" s="170" t="n"/>
    </row>
    <row r="20" ht="15" customHeight="1" s="104">
      <c r="A20" s="291" t="inlineStr">
        <is>
          <t>☐</t>
        </is>
      </c>
      <c r="B20" s="248" t="inlineStr">
        <is>
          <t>Written lease agreement (partnership ↔ member)</t>
        </is>
      </c>
      <c r="C20" s="169" t="n"/>
      <c r="D20" s="169" t="n"/>
      <c r="E20" s="169" t="n"/>
      <c r="F20" s="169" t="n"/>
      <c r="G20" s="169" t="n"/>
      <c r="H20" s="169" t="n"/>
      <c r="I20" s="170" t="n"/>
      <c r="J20" s="256" t="inlineStr">
        <is>
          <t>Entity file</t>
        </is>
      </c>
      <c r="K20" s="112" t="n"/>
    </row>
    <row r="21" ht="15" customHeight="1" s="104">
      <c r="A21" s="291" t="inlineStr">
        <is>
          <t>☐</t>
        </is>
      </c>
      <c r="B21" s="248" t="inlineStr">
        <is>
          <t>FMV analysis — comparable venue rates (hotels, Airbnb, conference centers)</t>
        </is>
      </c>
      <c r="C21" s="169" t="n"/>
      <c r="D21" s="169" t="n"/>
      <c r="E21" s="169" t="n"/>
      <c r="F21" s="169" t="n"/>
      <c r="G21" s="169" t="n"/>
      <c r="H21" s="169" t="n"/>
      <c r="I21" s="170" t="n"/>
      <c r="J21" s="256" t="inlineStr">
        <is>
          <t>Entity file</t>
        </is>
      </c>
      <c r="K21" s="112" t="n"/>
    </row>
    <row r="22" ht="15" customHeight="1" s="104">
      <c r="A22" s="291" t="inlineStr">
        <is>
          <t>☐</t>
        </is>
      </c>
      <c r="B22" s="248" t="inlineStr">
        <is>
          <t>Meeting agendas for each of the ≤14 rental days</t>
        </is>
      </c>
      <c r="C22" s="169" t="n"/>
      <c r="D22" s="169" t="n"/>
      <c r="E22" s="169" t="n"/>
      <c r="F22" s="169" t="n"/>
      <c r="G22" s="169" t="n"/>
      <c r="H22" s="169" t="n"/>
      <c r="I22" s="170" t="n"/>
      <c r="J22" s="256" t="inlineStr">
        <is>
          <t>Entity file</t>
        </is>
      </c>
      <c r="K22" s="112" t="n"/>
    </row>
    <row r="23" ht="15" customHeight="1" s="104">
      <c r="A23" s="291" t="inlineStr">
        <is>
          <t>☐</t>
        </is>
      </c>
      <c r="B23" s="248" t="inlineStr">
        <is>
          <t>Meeting minutes/notes with business decisions documented</t>
        </is>
      </c>
      <c r="C23" s="169" t="n"/>
      <c r="D23" s="169" t="n"/>
      <c r="E23" s="169" t="n"/>
      <c r="F23" s="169" t="n"/>
      <c r="G23" s="169" t="n"/>
      <c r="H23" s="169" t="n"/>
      <c r="I23" s="170" t="n"/>
      <c r="J23" s="256" t="inlineStr">
        <is>
          <t>Entity file</t>
        </is>
      </c>
      <c r="K23" s="112" t="n"/>
    </row>
    <row r="24" ht="15" customHeight="1" s="104">
      <c r="A24" s="291" t="inlineStr">
        <is>
          <t>☐</t>
        </is>
      </c>
      <c r="B24" s="248" t="inlineStr">
        <is>
          <t>Attendee list per meeting</t>
        </is>
      </c>
      <c r="C24" s="169" t="n"/>
      <c r="D24" s="169" t="n"/>
      <c r="E24" s="169" t="n"/>
      <c r="F24" s="169" t="n"/>
      <c r="G24" s="169" t="n"/>
      <c r="H24" s="169" t="n"/>
      <c r="I24" s="170" t="n"/>
      <c r="J24" s="256" t="inlineStr">
        <is>
          <t>Entity file</t>
        </is>
      </c>
      <c r="K24" s="112" t="n"/>
    </row>
    <row r="25" ht="15" customHeight="1" s="104">
      <c r="A25" s="291" t="inlineStr">
        <is>
          <t>☐</t>
        </is>
      </c>
      <c r="B25" s="248" t="inlineStr">
        <is>
          <t>Day-count calendar (running total of days used YTD)</t>
        </is>
      </c>
      <c r="C25" s="169" t="n"/>
      <c r="D25" s="169" t="n"/>
      <c r="E25" s="169" t="n"/>
      <c r="F25" s="169" t="n"/>
      <c r="G25" s="169" t="n"/>
      <c r="H25" s="169" t="n"/>
      <c r="I25" s="170" t="n"/>
      <c r="J25" s="256" t="inlineStr">
        <is>
          <t>Entity file</t>
        </is>
      </c>
      <c r="K25" s="112" t="n"/>
    </row>
    <row r="26" ht="15" customHeight="1" s="104">
      <c r="A26" s="291" t="inlineStr">
        <is>
          <t>☐</t>
        </is>
      </c>
      <c r="B26" s="248" t="inlineStr">
        <is>
          <t>Payment proof — check/wire/ACH from entity account to member personal account</t>
        </is>
      </c>
      <c r="C26" s="169" t="n"/>
      <c r="D26" s="169" t="n"/>
      <c r="E26" s="169" t="n"/>
      <c r="F26" s="169" t="n"/>
      <c r="G26" s="169" t="n"/>
      <c r="H26" s="169" t="n"/>
      <c r="I26" s="170" t="n"/>
      <c r="J26" s="256" t="inlineStr">
        <is>
          <t>Entity file</t>
        </is>
      </c>
      <c r="K26" s="112" t="n"/>
    </row>
    <row r="27" ht="15" customHeight="1" s="104">
      <c r="A27" s="291" t="inlineStr">
        <is>
          <t>☐</t>
        </is>
      </c>
      <c r="B27" s="248" t="inlineStr">
        <is>
          <t>Partner resolution authorizing the rental arrangement</t>
        </is>
      </c>
      <c r="C27" s="169" t="n"/>
      <c r="D27" s="169" t="n"/>
      <c r="E27" s="169" t="n"/>
      <c r="F27" s="169" t="n"/>
      <c r="G27" s="169" t="n"/>
      <c r="H27" s="169" t="n"/>
      <c r="I27" s="170" t="n"/>
      <c r="J27" s="256" t="inlineStr">
        <is>
          <t>Entity file</t>
        </is>
      </c>
      <c r="K27" s="112" t="n"/>
    </row>
    <row r="28" ht="15" customHeight="1" s="104">
      <c r="A28" s="291" t="inlineStr">
        <is>
          <t>☐</t>
        </is>
      </c>
      <c r="B28" s="248" t="inlineStr">
        <is>
          <t>Confirm member OWNS primary residence (deed/mortgage statement — strategy fails if leased)</t>
        </is>
      </c>
      <c r="C28" s="169" t="n"/>
      <c r="D28" s="169" t="n"/>
      <c r="E28" s="169" t="n"/>
      <c r="F28" s="169" t="n"/>
      <c r="G28" s="169" t="n"/>
      <c r="H28" s="169" t="n"/>
      <c r="I28" s="170" t="n"/>
      <c r="J28" s="256" t="inlineStr">
        <is>
          <t>Entity file</t>
        </is>
      </c>
      <c r="K28" s="112" t="n"/>
    </row>
    <row r="29"/>
    <row r="30" ht="25.5" customHeight="1" s="104">
      <c r="A30" s="303" t="inlineStr">
        <is>
          <t>2. KIDS ON PAYROLL / MANAGEMENT COMPANY — IRC §3121(b)(3)(A)</t>
        </is>
      </c>
    </row>
    <row r="31"/>
    <row r="32" ht="21.75" customHeight="1" s="104">
      <c r="A32" s="304" t="inlineStr">
        <is>
          <t>FIRM PARAMETERS</t>
        </is>
      </c>
      <c r="B32" s="169" t="n"/>
      <c r="C32" s="169" t="n"/>
      <c r="D32" s="169" t="n"/>
      <c r="E32" s="169" t="n"/>
      <c r="F32" s="169" t="n"/>
      <c r="G32" s="169" t="n"/>
      <c r="H32" s="169" t="n"/>
      <c r="I32" s="169" t="n"/>
      <c r="J32" s="169" t="n"/>
      <c r="K32" s="170" t="n"/>
    </row>
    <row r="33" ht="15" customHeight="1" s="104">
      <c r="A33" s="167" t="n"/>
      <c r="B33" s="288" t="inlineStr">
        <is>
          <t>Criteria</t>
        </is>
      </c>
      <c r="C33" s="288" t="inlineStr">
        <is>
          <t>Amount / Rule</t>
        </is>
      </c>
      <c r="D33" s="167" t="n"/>
      <c r="E33" s="167" t="n"/>
      <c r="F33" s="167" t="n"/>
      <c r="G33" s="167" t="n"/>
      <c r="H33" s="167" t="n"/>
      <c r="I33" s="167" t="n"/>
      <c r="J33" s="167" t="n"/>
      <c r="K33" s="288" t="inlineStr">
        <is>
          <t>Notes</t>
        </is>
      </c>
    </row>
    <row r="34" ht="21.75" customHeight="1" s="104">
      <c r="B34" s="277" t="inlineStr">
        <is>
          <t>Max per child</t>
        </is>
      </c>
      <c r="C34" s="248" t="inlineStr">
        <is>
          <t>$16,100/child (2026 standard deduction)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256" t="inlineStr">
        <is>
          <t>Child owes $0 federal income tax if wages ≤ this</t>
        </is>
      </c>
    </row>
    <row r="35" ht="21.75" customHeight="1" s="104">
      <c r="B35" s="277" t="inlineStr">
        <is>
          <t>FICA exempt</t>
        </is>
      </c>
      <c r="C35" s="248" t="inlineStr">
        <is>
          <t>Child under 18, partnership = both parents only</t>
        </is>
      </c>
      <c r="D35" s="169" t="n"/>
      <c r="E35" s="169" t="n"/>
      <c r="F35" s="169" t="n"/>
      <c r="G35" s="169" t="n"/>
      <c r="H35" s="169" t="n"/>
      <c r="I35" s="169" t="n"/>
      <c r="J35" s="169" t="n"/>
      <c r="K35" s="256" t="inlineStr">
        <is>
          <t>Any non-parent partner → full FICA applies</t>
        </is>
      </c>
    </row>
    <row r="36" ht="21.75" customHeight="1" s="104">
      <c r="B36" s="277" t="inlineStr">
        <is>
          <t>FUTA exempt</t>
        </is>
      </c>
      <c r="C36" s="248" t="inlineStr">
        <is>
          <t>Child under 21, same ownership rule</t>
        </is>
      </c>
      <c r="D36" s="169" t="n"/>
      <c r="E36" s="169" t="n"/>
      <c r="F36" s="169" t="n"/>
      <c r="G36" s="169" t="n"/>
      <c r="H36" s="169" t="n"/>
      <c r="I36" s="169" t="n"/>
      <c r="J36" s="169" t="n"/>
      <c r="K36" s="256" t="inlineStr">
        <is>
          <t>Still must file W-2 and 941s even if exempt</t>
        </is>
      </c>
    </row>
    <row r="37" ht="21.75" customHeight="1" s="104">
      <c r="B37" s="277" t="inlineStr">
        <is>
          <t>Mgmt Co option</t>
        </is>
      </c>
      <c r="C37" s="248" t="inlineStr">
        <is>
          <t>Combine Mgmt Co + Kids Payroll when possible</t>
        </is>
      </c>
      <c r="D37" s="169" t="n"/>
      <c r="E37" s="169" t="n"/>
      <c r="F37" s="169" t="n"/>
      <c r="G37" s="169" t="n"/>
      <c r="H37" s="169" t="n"/>
      <c r="I37" s="169" t="n"/>
      <c r="J37" s="169" t="n"/>
      <c r="K37" s="256" t="inlineStr">
        <is>
          <t>Mgmt Co invoices partnership; pays kids from Mgmt Co</t>
        </is>
      </c>
    </row>
    <row r="38" ht="21.75" customHeight="1" s="104">
      <c r="B38" s="277" t="inlineStr">
        <is>
          <t>Work must be real</t>
        </is>
      </c>
      <c r="C38" s="248" t="inlineStr">
        <is>
          <t>Filing, cleaning, social media, data entry, inventory</t>
        </is>
      </c>
      <c r="D38" s="169" t="n"/>
      <c r="E38" s="169" t="n"/>
      <c r="F38" s="169" t="n"/>
      <c r="G38" s="169" t="n"/>
      <c r="H38" s="169" t="n"/>
      <c r="I38" s="169" t="n"/>
      <c r="J38" s="169" t="n"/>
      <c r="K38" s="256" t="inlineStr">
        <is>
          <t>Document hours, duties, pay rate</t>
        </is>
      </c>
    </row>
    <row r="39"/>
    <row r="40" ht="21.75" customHeight="1" s="104">
      <c r="A40" s="297" t="inlineStr">
        <is>
          <t>1065 ADJUSTMENTS</t>
        </is>
      </c>
      <c r="B40" s="169" t="n"/>
      <c r="C40" s="169" t="n"/>
      <c r="D40" s="169" t="n"/>
      <c r="E40" s="169" t="n"/>
      <c r="F40" s="169" t="n"/>
      <c r="G40" s="169" t="n"/>
      <c r="H40" s="169" t="n"/>
      <c r="I40" s="169" t="n"/>
      <c r="J40" s="169" t="n"/>
      <c r="K40" s="170" t="n"/>
    </row>
    <row r="41" ht="15" customHeight="1" s="104">
      <c r="A41" s="287" t="inlineStr">
        <is>
          <t>#</t>
        </is>
      </c>
      <c r="B41" s="288" t="inlineStr">
        <is>
          <t>1065 Line</t>
        </is>
      </c>
      <c r="C41" s="288" t="inlineStr">
        <is>
          <t>Description</t>
        </is>
      </c>
      <c r="D41" s="288" t="inlineStr">
        <is>
          <t>Book Amt</t>
        </is>
      </c>
      <c r="E41" s="288" t="inlineStr">
        <is>
          <t>Tax Adj</t>
        </is>
      </c>
      <c r="F41" s="288" t="inlineStr">
        <is>
          <t>Tax Amt</t>
        </is>
      </c>
      <c r="G41" s="288" t="inlineStr">
        <is>
          <t>M-1 Line</t>
        </is>
      </c>
      <c r="H41" s="288" t="inlineStr">
        <is>
          <t>K Line</t>
        </is>
      </c>
      <c r="I41" s="288" t="inlineStr">
        <is>
          <t>WTB Row</t>
        </is>
      </c>
      <c r="J41" s="288" t="inlineStr">
        <is>
          <t>AJE Ref</t>
        </is>
      </c>
      <c r="K41" s="288" t="inlineStr">
        <is>
          <t>How to Handle</t>
        </is>
      </c>
    </row>
    <row r="42" ht="60" customHeight="1" s="104">
      <c r="A42" s="291" t="inlineStr">
        <is>
          <t>1</t>
        </is>
      </c>
      <c r="B42" s="248" t="inlineStr">
        <is>
          <t>P1 L9
(Salaries)</t>
        </is>
      </c>
      <c r="C42" s="277" t="inlineStr">
        <is>
          <t>Wages to partner's child(ren)</t>
        </is>
      </c>
      <c r="D42" s="296" t="inlineStr">
        <is>
          <t>If on books</t>
        </is>
      </c>
      <c r="E42" s="296" t="inlineStr">
        <is>
          <t>If not on
books</t>
        </is>
      </c>
      <c r="F42" s="281" t="inlineStr">
        <is>
          <t>Auto</t>
        </is>
      </c>
      <c r="G42" s="256" t="inlineStr">
        <is>
          <t>None if on books.
M-1 L7 if tax-only.</t>
        </is>
      </c>
      <c r="H42" s="256" t="inlineStr">
        <is>
          <t>Reduces OBI
(K L1)</t>
        </is>
      </c>
      <c r="I42" s="256" t="inlineStr">
        <is>
          <t>Row 37</t>
        </is>
      </c>
      <c r="J42" s="256" t="inlineStr">
        <is>
          <t>New</t>
        </is>
      </c>
      <c r="K42" s="248" t="inlineStr">
        <is>
          <t>If wages on client books → no M-1 adj, flows through P1 L9. If tax-only → WTB Row 37 Adj(+), M-1 Line 7. Issue W-2 to child. File 941s quarterly. FICA exempt boxes on W-2 if both-parent partnership and child &lt;18.</t>
        </is>
      </c>
    </row>
    <row r="43" ht="60" customHeight="1" s="104">
      <c r="A43" s="291" t="inlineStr">
        <is>
          <t>2</t>
        </is>
      </c>
      <c r="B43" s="248" t="inlineStr">
        <is>
          <t>P1 L9
(Salaries)</t>
        </is>
      </c>
      <c r="C43" s="277" t="inlineStr">
        <is>
          <t>Employer payroll taxes (if FICA applies)</t>
        </is>
      </c>
      <c r="D43" s="193" t="n"/>
      <c r="E43" s="193" t="n"/>
      <c r="F43" s="201" t="n"/>
      <c r="G43" s="198" t="n"/>
      <c r="H43" s="198" t="n"/>
      <c r="I43" s="256" t="inlineStr">
        <is>
          <t>Row 42
(Taxes)</t>
        </is>
      </c>
      <c r="J43" s="174" t="n"/>
      <c r="K43" s="248" t="inlineStr">
        <is>
          <t>If FICA exempt: $0 employer FICA. Only FUTA ($42/child max). If NOT exempt (non-parent partner exists): employer pays 7.65% FICA on wages. Payroll tax expense goes to P1 L14 (Taxes and Licenses).</t>
        </is>
      </c>
    </row>
    <row r="44" ht="60" customHeight="1" s="104">
      <c r="A44" s="291" t="inlineStr">
        <is>
          <t>3</t>
        </is>
      </c>
      <c r="B44" s="248" t="inlineStr">
        <is>
          <t>P1 L20
(Other Ded)</t>
        </is>
      </c>
      <c r="C44" s="277" t="inlineStr">
        <is>
          <t>Mgmt Co fees (if using Mgmt Co structure)</t>
        </is>
      </c>
      <c r="D44" s="296" t="inlineStr">
        <is>
          <t>If on books</t>
        </is>
      </c>
      <c r="E44" s="296" t="inlineStr">
        <is>
          <t>If not on
books</t>
        </is>
      </c>
      <c r="F44" s="281" t="inlineStr">
        <is>
          <t>Auto</t>
        </is>
      </c>
      <c r="G44" s="256" t="inlineStr">
        <is>
          <t>None if on books.
M-1 L7 if tax-only.</t>
        </is>
      </c>
      <c r="H44" s="256" t="inlineStr">
        <is>
          <t>Reduces OBI
(K L1)</t>
        </is>
      </c>
      <c r="I44" s="256" t="inlineStr">
        <is>
          <t>Row 50</t>
        </is>
      </c>
      <c r="J44" s="256" t="inlineStr">
        <is>
          <t>New</t>
        </is>
      </c>
      <c r="K44" s="248" t="inlineStr">
        <is>
          <t>Partnership pays management fee to separate Mgmt Co (owned by spouse/family). Mgmt Co then pays kids as W-2 employees. Partnership deducts as management fees on P1 L20 Other Deductions. Must be arm's length — reasonable for services rendered.</t>
        </is>
      </c>
    </row>
    <row r="45"/>
    <row r="46" ht="21.75" customHeight="1" s="104">
      <c r="A46" s="297" t="inlineStr">
        <is>
          <t>DOCUMENTATION CHECKLIST</t>
        </is>
      </c>
      <c r="B46" s="169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70" t="n"/>
    </row>
    <row r="47" ht="15" customHeight="1" s="104">
      <c r="A47" s="291" t="inlineStr">
        <is>
          <t>☐</t>
        </is>
      </c>
      <c r="B47" s="248" t="inlineStr">
        <is>
          <t>Written job description per child — specific duties, responsibilities</t>
        </is>
      </c>
      <c r="C47" s="169" t="n"/>
      <c r="D47" s="169" t="n"/>
      <c r="E47" s="169" t="n"/>
      <c r="F47" s="169" t="n"/>
      <c r="G47" s="169" t="n"/>
      <c r="H47" s="169" t="n"/>
      <c r="I47" s="170" t="n"/>
      <c r="J47" s="256" t="inlineStr">
        <is>
          <t>Entity file</t>
        </is>
      </c>
      <c r="K47" s="112" t="n"/>
    </row>
    <row r="48" ht="15" customHeight="1" s="104">
      <c r="A48" s="291" t="inlineStr">
        <is>
          <t>☐</t>
        </is>
      </c>
      <c r="B48" s="248" t="inlineStr">
        <is>
          <t>Time sheets / work log signed by child and supervising partner</t>
        </is>
      </c>
      <c r="C48" s="169" t="n"/>
      <c r="D48" s="169" t="n"/>
      <c r="E48" s="169" t="n"/>
      <c r="F48" s="169" t="n"/>
      <c r="G48" s="169" t="n"/>
      <c r="H48" s="169" t="n"/>
      <c r="I48" s="170" t="n"/>
      <c r="J48" s="256" t="inlineStr">
        <is>
          <t>Entity file</t>
        </is>
      </c>
      <c r="K48" s="112" t="n"/>
    </row>
    <row r="49" ht="15" customHeight="1" s="104">
      <c r="A49" s="291" t="inlineStr">
        <is>
          <t>☐</t>
        </is>
      </c>
      <c r="B49" s="248" t="inlineStr">
        <is>
          <t>Pay rate documentation — reasonable for age, skill, local market (min wage check)</t>
        </is>
      </c>
      <c r="C49" s="169" t="n"/>
      <c r="D49" s="169" t="n"/>
      <c r="E49" s="169" t="n"/>
      <c r="F49" s="169" t="n"/>
      <c r="G49" s="169" t="n"/>
      <c r="H49" s="169" t="n"/>
      <c r="I49" s="170" t="n"/>
      <c r="J49" s="256" t="inlineStr">
        <is>
          <t>Entity file</t>
        </is>
      </c>
      <c r="K49" s="112" t="n"/>
    </row>
    <row r="50" ht="15" customHeight="1" s="104">
      <c r="A50" s="291" t="inlineStr">
        <is>
          <t>☐</t>
        </is>
      </c>
      <c r="B50" s="248" t="inlineStr">
        <is>
          <t>W-4 from child (may claim exempt if no liability expected)</t>
        </is>
      </c>
      <c r="C50" s="169" t="n"/>
      <c r="D50" s="169" t="n"/>
      <c r="E50" s="169" t="n"/>
      <c r="F50" s="169" t="n"/>
      <c r="G50" s="169" t="n"/>
      <c r="H50" s="169" t="n"/>
      <c r="I50" s="170" t="n"/>
      <c r="J50" s="256" t="inlineStr">
        <is>
          <t>Entity file</t>
        </is>
      </c>
      <c r="K50" s="112" t="n"/>
    </row>
    <row r="51" ht="15" customHeight="1" s="104">
      <c r="A51" s="291" t="inlineStr">
        <is>
          <t>☐</t>
        </is>
      </c>
      <c r="B51" s="248" t="inlineStr">
        <is>
          <t>W-2 issued to each child annually</t>
        </is>
      </c>
      <c r="C51" s="169" t="n"/>
      <c r="D51" s="169" t="n"/>
      <c r="E51" s="169" t="n"/>
      <c r="F51" s="169" t="n"/>
      <c r="G51" s="169" t="n"/>
      <c r="H51" s="169" t="n"/>
      <c r="I51" s="170" t="n"/>
      <c r="J51" s="256" t="inlineStr">
        <is>
          <t>Entity file</t>
        </is>
      </c>
      <c r="K51" s="112" t="n"/>
    </row>
    <row r="52" ht="15" customHeight="1" s="104">
      <c r="A52" s="291" t="inlineStr">
        <is>
          <t>☐</t>
        </is>
      </c>
      <c r="B52" s="248" t="inlineStr">
        <is>
          <t>Form 941 quarterly (or 944 annual)</t>
        </is>
      </c>
      <c r="C52" s="169" t="n"/>
      <c r="D52" s="169" t="n"/>
      <c r="E52" s="169" t="n"/>
      <c r="F52" s="169" t="n"/>
      <c r="G52" s="169" t="n"/>
      <c r="H52" s="169" t="n"/>
      <c r="I52" s="170" t="n"/>
      <c r="J52" s="256" t="inlineStr">
        <is>
          <t>Entity file</t>
        </is>
      </c>
      <c r="K52" s="112" t="n"/>
    </row>
    <row r="53" ht="15" customHeight="1" s="104">
      <c r="A53" s="291" t="inlineStr">
        <is>
          <t>☐</t>
        </is>
      </c>
      <c r="B53" s="248" t="inlineStr">
        <is>
          <t>Partnership agreement confirming both partners are parents (FICA exemption)</t>
        </is>
      </c>
      <c r="C53" s="169" t="n"/>
      <c r="D53" s="169" t="n"/>
      <c r="E53" s="169" t="n"/>
      <c r="F53" s="169" t="n"/>
      <c r="G53" s="169" t="n"/>
      <c r="H53" s="169" t="n"/>
      <c r="I53" s="170" t="n"/>
      <c r="J53" s="256" t="inlineStr">
        <is>
          <t>Entity file</t>
        </is>
      </c>
      <c r="K53" s="112" t="n"/>
    </row>
    <row r="54" ht="15" customHeight="1" s="104">
      <c r="A54" s="291" t="inlineStr">
        <is>
          <t>☐</t>
        </is>
      </c>
      <c r="B54" s="248" t="inlineStr">
        <is>
          <t>Proof of payment — check or direct deposit to child's own bank account</t>
        </is>
      </c>
      <c r="C54" s="169" t="n"/>
      <c r="D54" s="169" t="n"/>
      <c r="E54" s="169" t="n"/>
      <c r="F54" s="169" t="n"/>
      <c r="G54" s="169" t="n"/>
      <c r="H54" s="169" t="n"/>
      <c r="I54" s="170" t="n"/>
      <c r="J54" s="256" t="inlineStr">
        <is>
          <t>Entity file</t>
        </is>
      </c>
      <c r="K54" s="112" t="n"/>
    </row>
    <row r="55" ht="15" customHeight="1" s="104">
      <c r="A55" s="291" t="inlineStr">
        <is>
          <t>☐</t>
        </is>
      </c>
      <c r="B55" s="248" t="inlineStr">
        <is>
          <t>Work product samples (social media posts, filed docs, photos of work)</t>
        </is>
      </c>
      <c r="C55" s="169" t="n"/>
      <c r="D55" s="169" t="n"/>
      <c r="E55" s="169" t="n"/>
      <c r="F55" s="169" t="n"/>
      <c r="G55" s="169" t="n"/>
      <c r="H55" s="169" t="n"/>
      <c r="I55" s="170" t="n"/>
      <c r="J55" s="256" t="inlineStr">
        <is>
          <t>Entity file</t>
        </is>
      </c>
      <c r="K55" s="112" t="n"/>
    </row>
    <row r="56" ht="15" customHeight="1" s="104">
      <c r="A56" s="291" t="inlineStr">
        <is>
          <t>☐</t>
        </is>
      </c>
      <c r="B56" s="248" t="inlineStr">
        <is>
          <t>If using Mgmt Co: management agreement, invoices, Mgmt Co books/W-2s to kids</t>
        </is>
      </c>
      <c r="C56" s="169" t="n"/>
      <c r="D56" s="169" t="n"/>
      <c r="E56" s="169" t="n"/>
      <c r="F56" s="169" t="n"/>
      <c r="G56" s="169" t="n"/>
      <c r="H56" s="169" t="n"/>
      <c r="I56" s="170" t="n"/>
      <c r="J56" s="256" t="inlineStr">
        <is>
          <t>Entity file</t>
        </is>
      </c>
      <c r="K56" s="112" t="n"/>
    </row>
    <row r="57"/>
    <row r="58" ht="25.5" customHeight="1" s="104">
      <c r="A58" s="303" t="inlineStr">
        <is>
          <t>3. HOME OFFICE / ACCOUNTABLE REIMBURSEMENT PLAN (ARP) / BUH</t>
        </is>
      </c>
    </row>
    <row r="59"/>
    <row r="60" ht="21.75" customHeight="1" s="104">
      <c r="A60" s="304" t="inlineStr">
        <is>
          <t>FIRM PARAMETERS</t>
        </is>
      </c>
      <c r="B60" s="169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70" t="n"/>
    </row>
    <row r="61" ht="15" customHeight="1" s="104">
      <c r="A61" s="167" t="n"/>
      <c r="B61" s="288" t="inlineStr">
        <is>
          <t>Criteria</t>
        </is>
      </c>
      <c r="C61" s="288" t="inlineStr">
        <is>
          <t>Amount / Rule</t>
        </is>
      </c>
      <c r="D61" s="167" t="n"/>
      <c r="E61" s="167" t="n"/>
      <c r="F61" s="167" t="n"/>
      <c r="G61" s="167" t="n"/>
      <c r="H61" s="167" t="n"/>
      <c r="I61" s="167" t="n"/>
      <c r="J61" s="167" t="n"/>
      <c r="K61" s="288" t="inlineStr">
        <is>
          <t>Notes</t>
        </is>
      </c>
    </row>
    <row r="62" ht="21.75" customHeight="1" s="104">
      <c r="B62" s="277" t="inlineStr">
        <is>
          <t>Minimum estimate</t>
        </is>
      </c>
      <c r="C62" s="248" t="inlineStr">
        <is>
          <t>$6,000 starting point</t>
        </is>
      </c>
      <c r="D62" s="169" t="n"/>
      <c r="E62" s="169" t="n"/>
      <c r="F62" s="169" t="n"/>
      <c r="G62" s="169" t="n"/>
      <c r="H62" s="169" t="n"/>
      <c r="I62" s="169" t="n"/>
      <c r="J62" s="169" t="n"/>
      <c r="K62" s="256" t="inlineStr">
        <is>
          <t>Member-specific calculation needed</t>
        </is>
      </c>
    </row>
    <row r="63" ht="21.75" customHeight="1" s="104">
      <c r="B63" s="277" t="inlineStr">
        <is>
          <t>ARP (Accountable Plan)</t>
        </is>
      </c>
      <c r="C63" s="248" t="inlineStr">
        <is>
          <t>Entity reimburses member for home office</t>
        </is>
      </c>
      <c r="D63" s="169" t="n"/>
      <c r="E63" s="169" t="n"/>
      <c r="F63" s="169" t="n"/>
      <c r="G63" s="169" t="n"/>
      <c r="H63" s="169" t="n"/>
      <c r="I63" s="169" t="n"/>
      <c r="J63" s="169" t="n"/>
      <c r="K63" s="256" t="inlineStr">
        <is>
          <t>Deduction on entity, tax-free to member</t>
        </is>
      </c>
    </row>
    <row r="64" ht="21.75" customHeight="1" s="104">
      <c r="B64" s="277" t="inlineStr">
        <is>
          <t>UPE (no ARP)</t>
        </is>
      </c>
      <c r="C64" s="248" t="inlineStr">
        <is>
          <t>Member deducts on 1040 Sch E Page 2</t>
        </is>
      </c>
      <c r="D64" s="169" t="n"/>
      <c r="E64" s="169" t="n"/>
      <c r="F64" s="169" t="n"/>
      <c r="G64" s="169" t="n"/>
      <c r="H64" s="169" t="n"/>
      <c r="I64" s="169" t="n"/>
      <c r="J64" s="169" t="n"/>
      <c r="K64" s="256" t="inlineStr">
        <is>
          <t>Partnership agreement must require UPE</t>
        </is>
      </c>
    </row>
    <row r="65" ht="21.75" customHeight="1" s="104">
      <c r="B65" s="277" t="inlineStr">
        <is>
          <t>Method</t>
        </is>
      </c>
      <c r="C65" s="248" t="inlineStr">
        <is>
          <t>Regular (actual × %) or Simplified ($5/sqft, max 300 sqft)</t>
        </is>
      </c>
      <c r="D65" s="169" t="n"/>
      <c r="E65" s="169" t="n"/>
      <c r="F65" s="169" t="n"/>
      <c r="G65" s="169" t="n"/>
      <c r="H65" s="169" t="n"/>
      <c r="I65" s="169" t="n"/>
      <c r="J65" s="169" t="n"/>
      <c r="K65" s="256" t="inlineStr">
        <is>
          <t>Regular method usually gives larger deduction</t>
        </is>
      </c>
    </row>
    <row r="66"/>
    <row r="67" ht="21.75" customHeight="1" s="104">
      <c r="A67" s="297" t="inlineStr">
        <is>
          <t>1065 ADJUSTMENTS — TWO PATHS</t>
        </is>
      </c>
      <c r="B67" s="169" t="n"/>
      <c r="C67" s="169" t="n"/>
      <c r="D67" s="169" t="n"/>
      <c r="E67" s="169" t="n"/>
      <c r="F67" s="169" t="n"/>
      <c r="G67" s="169" t="n"/>
      <c r="H67" s="169" t="n"/>
      <c r="I67" s="169" t="n"/>
      <c r="J67" s="169" t="n"/>
      <c r="K67" s="170" t="n"/>
    </row>
    <row r="68" ht="43.5" customHeight="1" s="104">
      <c r="A68" s="291" t="inlineStr">
        <is>
          <t>•</t>
        </is>
      </c>
      <c r="B68" s="248" t="inlineStr">
        <is>
          <t>PATH A — ACCOUNTABLE REIMBURSEMENT PLAN (ARP): Entity reimburses member for home office expenses under an accountable plan. Reimbursement is deductible to the entity on P1 L20 (Other Deductions). Tax-free to the member (not on W-2, not on K-1). This IS an entity-level deduction. Goes on WTB Row 50. If not on books → M-1 Line 7.</t>
        </is>
      </c>
      <c r="C68" s="169" t="n"/>
      <c r="D68" s="169" t="n"/>
      <c r="E68" s="169" t="n"/>
      <c r="F68" s="169" t="n"/>
      <c r="G68" s="169" t="n"/>
      <c r="H68" s="169" t="n"/>
      <c r="I68" s="169" t="n"/>
      <c r="J68" s="169" t="n"/>
      <c r="K68" s="169" t="n"/>
    </row>
    <row r="69" ht="43.5" customHeight="1" s="104">
      <c r="A69" s="291" t="inlineStr">
        <is>
          <t>•</t>
        </is>
      </c>
      <c r="B69" s="248" t="inlineStr">
        <is>
          <t>PATH B — UPE (NO ARP): Member claims as Unreimbursed Partner Expense on their 1040 Schedule E Page 2. NO IMPACT on the 1065 at all. No WTB entry. No M-1. No K adjustment. Purely individual. Partnership agreement MUST state members pay home office without reimbursement (McLauchlan, 558 Fed. Appx. 374). UPE reduces both income tax and SE tax.</t>
        </is>
      </c>
      <c r="C69" s="169" t="n"/>
      <c r="D69" s="169" t="n"/>
      <c r="E69" s="169" t="n"/>
      <c r="F69" s="169" t="n"/>
      <c r="G69" s="169" t="n"/>
      <c r="H69" s="169" t="n"/>
      <c r="I69" s="169" t="n"/>
      <c r="J69" s="169" t="n"/>
      <c r="K69" s="169" t="n"/>
    </row>
    <row r="70"/>
    <row r="71" ht="15" customHeight="1" s="104">
      <c r="A71" s="287" t="inlineStr">
        <is>
          <t>#</t>
        </is>
      </c>
      <c r="B71" s="288" t="inlineStr">
        <is>
          <t>1065 Line</t>
        </is>
      </c>
      <c r="C71" s="288" t="inlineStr">
        <is>
          <t>Description</t>
        </is>
      </c>
      <c r="D71" s="288" t="inlineStr">
        <is>
          <t>Book Amt</t>
        </is>
      </c>
      <c r="E71" s="288" t="inlineStr">
        <is>
          <t>Tax Adj</t>
        </is>
      </c>
      <c r="F71" s="288" t="inlineStr">
        <is>
          <t>Tax Amt</t>
        </is>
      </c>
      <c r="G71" s="288" t="inlineStr">
        <is>
          <t>M-1 Line</t>
        </is>
      </c>
      <c r="H71" s="288" t="inlineStr">
        <is>
          <t>K Line</t>
        </is>
      </c>
      <c r="I71" s="288" t="inlineStr">
        <is>
          <t>WTB Row</t>
        </is>
      </c>
      <c r="J71" s="288" t="inlineStr">
        <is>
          <t>AJE Ref</t>
        </is>
      </c>
      <c r="K71" s="288" t="inlineStr">
        <is>
          <t>How to Handle</t>
        </is>
      </c>
    </row>
    <row r="72" ht="55.5" customHeight="1" s="104">
      <c r="A72" s="291" t="inlineStr">
        <is>
          <t>A</t>
        </is>
      </c>
      <c r="B72" s="248" t="inlineStr">
        <is>
          <t>P1 L20
(Other Ded)</t>
        </is>
      </c>
      <c r="C72" s="277" t="inlineStr">
        <is>
          <t>ARP reimbursement — home office (entity deduction)</t>
        </is>
      </c>
      <c r="D72" s="296" t="inlineStr">
        <is>
          <t>If on books</t>
        </is>
      </c>
      <c r="E72" s="296" t="inlineStr">
        <is>
          <t>If not on
books</t>
        </is>
      </c>
      <c r="F72" s="281" t="inlineStr">
        <is>
          <t>Auto</t>
        </is>
      </c>
      <c r="G72" s="256" t="inlineStr">
        <is>
          <t>None if on books.
M-1 L7 if tax-only.</t>
        </is>
      </c>
      <c r="H72" s="256" t="inlineStr">
        <is>
          <t>Reduces OBI
(K L1)</t>
        </is>
      </c>
      <c r="I72" s="256" t="inlineStr">
        <is>
          <t>Row 50</t>
        </is>
      </c>
      <c r="J72" s="256" t="inlineStr">
        <is>
          <t>New</t>
        </is>
      </c>
      <c r="K72" s="248" t="inlineStr">
        <is>
          <t>ARP PATH: Entity pays/reimburses member under accountable plan. Deducted on P1 L20. Tax-free to member. Must meet accountable plan rules: business connection, substantiation, return of excess.</t>
        </is>
      </c>
    </row>
    <row r="73" ht="55.5" customHeight="1" s="104">
      <c r="A73" s="291" t="inlineStr">
        <is>
          <t>B</t>
        </is>
      </c>
      <c r="B73" s="248" t="inlineStr">
        <is>
          <t>NOT on 1065</t>
        </is>
      </c>
      <c r="C73" s="277" t="inlineStr">
        <is>
          <t>UPE — home office (member's 1040 Sch E P2)</t>
        </is>
      </c>
      <c r="D73" s="193" t="n"/>
      <c r="E73" s="193" t="n"/>
      <c r="F73" s="201" t="n"/>
      <c r="G73" s="256" t="inlineStr">
        <is>
          <t>N/A</t>
        </is>
      </c>
      <c r="H73" s="256" t="inlineStr">
        <is>
          <t>N/A</t>
        </is>
      </c>
      <c r="I73" s="256" t="inlineStr">
        <is>
          <t>N/A</t>
        </is>
      </c>
      <c r="J73" s="256" t="inlineStr">
        <is>
          <t>N/A</t>
        </is>
      </c>
      <c r="K73" s="248" t="inlineStr">
        <is>
          <t>UPE PATH: No 1065 adjustment. Member claims on Sch E P2. Reduces K-1 income on their 1040 and reduces SE income via SE worksheet. Partnership agreement must explicitly require UPE.</t>
        </is>
      </c>
    </row>
    <row r="74"/>
    <row r="75" ht="21.75" customHeight="1" s="104">
      <c r="A75" s="297" t="inlineStr">
        <is>
          <t>DOCUMENTATION CHECKLIST</t>
        </is>
      </c>
      <c r="B75" s="169" t="n"/>
      <c r="C75" s="169" t="n"/>
      <c r="D75" s="169" t="n"/>
      <c r="E75" s="169" t="n"/>
      <c r="F75" s="169" t="n"/>
      <c r="G75" s="169" t="n"/>
      <c r="H75" s="169" t="n"/>
      <c r="I75" s="169" t="n"/>
      <c r="J75" s="169" t="n"/>
      <c r="K75" s="170" t="n"/>
    </row>
    <row r="76" ht="15" customHeight="1" s="104">
      <c r="A76" s="291" t="inlineStr">
        <is>
          <t>☐</t>
        </is>
      </c>
      <c r="B76" s="248" t="inlineStr">
        <is>
          <t>Accountable Reimbursement Plan document (if using ARP path)</t>
        </is>
      </c>
      <c r="C76" s="169" t="n"/>
      <c r="D76" s="169" t="n"/>
      <c r="E76" s="169" t="n"/>
      <c r="F76" s="169" t="n"/>
      <c r="G76" s="169" t="n"/>
      <c r="H76" s="169" t="n"/>
      <c r="I76" s="170" t="n"/>
      <c r="J76" s="256" t="inlineStr">
        <is>
          <t>Entity file</t>
        </is>
      </c>
      <c r="K76" s="112" t="n"/>
    </row>
    <row r="77" ht="15" customHeight="1" s="104">
      <c r="A77" s="291" t="inlineStr">
        <is>
          <t>☐</t>
        </is>
      </c>
      <c r="B77" s="248" t="inlineStr">
        <is>
          <t>Partnership/Operating agreement with UPE clause (if using UPE path)</t>
        </is>
      </c>
      <c r="C77" s="169" t="n"/>
      <c r="D77" s="169" t="n"/>
      <c r="E77" s="169" t="n"/>
      <c r="F77" s="169" t="n"/>
      <c r="G77" s="169" t="n"/>
      <c r="H77" s="169" t="n"/>
      <c r="I77" s="170" t="n"/>
      <c r="J77" s="256" t="inlineStr">
        <is>
          <t>Entity file</t>
        </is>
      </c>
      <c r="K77" s="112" t="n"/>
    </row>
    <row r="78" ht="15" customHeight="1" s="104">
      <c r="A78" s="291" t="inlineStr">
        <is>
          <t>☐</t>
        </is>
      </c>
      <c r="B78" s="248" t="inlineStr">
        <is>
          <t>Floor plan / measurement of home office (dedicated and regular use)</t>
        </is>
      </c>
      <c r="C78" s="169" t="n"/>
      <c r="D78" s="169" t="n"/>
      <c r="E78" s="169" t="n"/>
      <c r="F78" s="169" t="n"/>
      <c r="G78" s="169" t="n"/>
      <c r="H78" s="169" t="n"/>
      <c r="I78" s="170" t="n"/>
      <c r="J78" s="256" t="inlineStr">
        <is>
          <t>Entity file</t>
        </is>
      </c>
      <c r="K78" s="112" t="n"/>
    </row>
    <row r="79" ht="15" customHeight="1" s="104">
      <c r="A79" s="291" t="inlineStr">
        <is>
          <t>☐</t>
        </is>
      </c>
      <c r="B79" s="248" t="inlineStr">
        <is>
          <t>Mortgage interest or rent receipts</t>
        </is>
      </c>
      <c r="C79" s="169" t="n"/>
      <c r="D79" s="169" t="n"/>
      <c r="E79" s="169" t="n"/>
      <c r="F79" s="169" t="n"/>
      <c r="G79" s="169" t="n"/>
      <c r="H79" s="169" t="n"/>
      <c r="I79" s="170" t="n"/>
      <c r="J79" s="256" t="inlineStr">
        <is>
          <t>Entity file</t>
        </is>
      </c>
      <c r="K79" s="112" t="n"/>
    </row>
    <row r="80" ht="15" customHeight="1" s="104">
      <c r="A80" s="291" t="inlineStr">
        <is>
          <t>☐</t>
        </is>
      </c>
      <c r="B80" s="248" t="inlineStr">
        <is>
          <t>Property tax statements</t>
        </is>
      </c>
      <c r="C80" s="169" t="n"/>
      <c r="D80" s="169" t="n"/>
      <c r="E80" s="169" t="n"/>
      <c r="F80" s="169" t="n"/>
      <c r="G80" s="169" t="n"/>
      <c r="H80" s="169" t="n"/>
      <c r="I80" s="170" t="n"/>
      <c r="J80" s="256" t="inlineStr">
        <is>
          <t>Entity file</t>
        </is>
      </c>
      <c r="K80" s="112" t="n"/>
    </row>
    <row r="81" ht="15" customHeight="1" s="104">
      <c r="A81" s="291" t="inlineStr">
        <is>
          <t>☐</t>
        </is>
      </c>
      <c r="B81" s="248" t="inlineStr">
        <is>
          <t>Utility bills (electric, gas, internet, phone)</t>
        </is>
      </c>
      <c r="C81" s="169" t="n"/>
      <c r="D81" s="169" t="n"/>
      <c r="E81" s="169" t="n"/>
      <c r="F81" s="169" t="n"/>
      <c r="G81" s="169" t="n"/>
      <c r="H81" s="169" t="n"/>
      <c r="I81" s="170" t="n"/>
      <c r="J81" s="256" t="inlineStr">
        <is>
          <t>Entity file</t>
        </is>
      </c>
      <c r="K81" s="112" t="n"/>
    </row>
    <row r="82" ht="15" customHeight="1" s="104">
      <c r="A82" s="291" t="inlineStr">
        <is>
          <t>☐</t>
        </is>
      </c>
      <c r="B82" s="248" t="inlineStr">
        <is>
          <t>Home insurance declarations page</t>
        </is>
      </c>
      <c r="C82" s="169" t="n"/>
      <c r="D82" s="169" t="n"/>
      <c r="E82" s="169" t="n"/>
      <c r="F82" s="169" t="n"/>
      <c r="G82" s="169" t="n"/>
      <c r="H82" s="169" t="n"/>
      <c r="I82" s="170" t="n"/>
      <c r="J82" s="256" t="inlineStr">
        <is>
          <t>Entity file</t>
        </is>
      </c>
      <c r="K82" s="112" t="n"/>
    </row>
    <row r="83" ht="15" customHeight="1" s="104">
      <c r="A83" s="291" t="inlineStr">
        <is>
          <t>☐</t>
        </is>
      </c>
      <c r="B83" s="248" t="inlineStr">
        <is>
          <t>IRS Pub 587 worksheet or Form 8829 computation</t>
        </is>
      </c>
      <c r="C83" s="169" t="n"/>
      <c r="D83" s="169" t="n"/>
      <c r="E83" s="169" t="n"/>
      <c r="F83" s="169" t="n"/>
      <c r="G83" s="169" t="n"/>
      <c r="H83" s="169" t="n"/>
      <c r="I83" s="170" t="n"/>
      <c r="J83" s="256" t="inlineStr">
        <is>
          <t>Entity file</t>
        </is>
      </c>
      <c r="K83" s="112" t="n"/>
    </row>
    <row r="84" ht="15" customHeight="1" s="104">
      <c r="A84" s="291" t="inlineStr">
        <is>
          <t>☐</t>
        </is>
      </c>
      <c r="B84" s="248" t="inlineStr">
        <is>
          <t>Receipts for any other reimbursed business expenses under ARP</t>
        </is>
      </c>
      <c r="C84" s="169" t="n"/>
      <c r="D84" s="169" t="n"/>
      <c r="E84" s="169" t="n"/>
      <c r="F84" s="169" t="n"/>
      <c r="G84" s="169" t="n"/>
      <c r="H84" s="169" t="n"/>
      <c r="I84" s="170" t="n"/>
      <c r="J84" s="256" t="inlineStr">
        <is>
          <t>Entity file</t>
        </is>
      </c>
      <c r="K84" s="112" t="n"/>
    </row>
    <row r="85"/>
    <row r="86" ht="25.5" customHeight="1" s="104">
      <c r="A86" s="303" t="inlineStr">
        <is>
          <t>4. IRC §179 / §168(k) BONUS DEPRECIATION</t>
        </is>
      </c>
    </row>
    <row r="87"/>
    <row r="88" ht="21.75" customHeight="1" s="104">
      <c r="A88" s="304" t="inlineStr">
        <is>
          <t>FIRM PARAMETERS</t>
        </is>
      </c>
      <c r="B88" s="169" t="n"/>
      <c r="C88" s="169" t="n"/>
      <c r="D88" s="169" t="n"/>
      <c r="E88" s="169" t="n"/>
      <c r="F88" s="169" t="n"/>
      <c r="G88" s="169" t="n"/>
      <c r="H88" s="169" t="n"/>
      <c r="I88" s="169" t="n"/>
      <c r="J88" s="169" t="n"/>
      <c r="K88" s="170" t="n"/>
    </row>
    <row r="89" ht="15" customHeight="1" s="104">
      <c r="A89" s="167" t="n"/>
      <c r="B89" s="288" t="inlineStr">
        <is>
          <t>Criteria</t>
        </is>
      </c>
      <c r="C89" s="288" t="inlineStr">
        <is>
          <t>Amount / Rule</t>
        </is>
      </c>
      <c r="D89" s="167" t="n"/>
      <c r="E89" s="167" t="n"/>
      <c r="F89" s="167" t="n"/>
      <c r="G89" s="167" t="n"/>
      <c r="H89" s="167" t="n"/>
      <c r="I89" s="167" t="n"/>
      <c r="J89" s="167" t="n"/>
      <c r="K89" s="288" t="inlineStr">
        <is>
          <t>Notes</t>
        </is>
      </c>
    </row>
    <row r="90" ht="21.75" customHeight="1" s="104">
      <c r="B90" s="277" t="inlineStr">
        <is>
          <t>Bonus Depr (§168(k))</t>
        </is>
      </c>
      <c r="C90" s="248" t="inlineStr">
        <is>
          <t>100% for assets purchased and placed in service by 1/20/25</t>
        </is>
      </c>
      <c r="D90" s="169" t="n"/>
      <c r="E90" s="169" t="n"/>
      <c r="F90" s="169" t="n"/>
      <c r="G90" s="169" t="n"/>
      <c r="H90" s="169" t="n"/>
      <c r="I90" s="169" t="n"/>
      <c r="J90" s="169" t="n"/>
      <c r="K90" s="256" t="inlineStr">
        <is>
          <t>Check phase-down schedule for later dates</t>
        </is>
      </c>
    </row>
    <row r="91" ht="21.75" customHeight="1" s="104">
      <c r="B91" s="277" t="inlineStr">
        <is>
          <t>§168(k) phase-down</t>
        </is>
      </c>
      <c r="C91" s="248" t="inlineStr">
        <is>
          <t>2025: 100% (if placed in service by 1/20/25) → 2026: 20% → 2027: 0%</t>
        </is>
      </c>
      <c r="D91" s="169" t="n"/>
      <c r="E91" s="169" t="n"/>
      <c r="F91" s="169" t="n"/>
      <c r="G91" s="169" t="n"/>
      <c r="H91" s="169" t="n"/>
      <c r="I91" s="169" t="n"/>
      <c r="J91" s="169" t="n"/>
      <c r="K91" s="256" t="inlineStr">
        <is>
          <t>TCJA sunset — verify current year rate</t>
        </is>
      </c>
    </row>
    <row r="92" ht="21.75" customHeight="1" s="104">
      <c r="B92" s="277" t="inlineStr">
        <is>
          <t>§179 Election</t>
        </is>
      </c>
      <c r="C92" s="248" t="inlineStr">
        <is>
          <t>Expense entire cost in year placed in service</t>
        </is>
      </c>
      <c r="D92" s="169" t="n"/>
      <c r="E92" s="169" t="n"/>
      <c r="F92" s="169" t="n"/>
      <c r="G92" s="169" t="n"/>
      <c r="H92" s="169" t="n"/>
      <c r="I92" s="169" t="n"/>
      <c r="J92" s="169" t="n"/>
      <c r="K92" s="256" t="inlineStr">
        <is>
          <t>Subject to §179 annual limit ($1,250,000 for 2025)</t>
        </is>
      </c>
    </row>
    <row r="93" ht="21.75" customHeight="1" s="104">
      <c r="B93" s="277" t="inlineStr">
        <is>
          <t>§179 income limit</t>
        </is>
      </c>
      <c r="C93" s="248" t="inlineStr">
        <is>
          <t>Cannot exceed taxable income of partnership</t>
        </is>
      </c>
      <c r="D93" s="169" t="n"/>
      <c r="E93" s="169" t="n"/>
      <c r="F93" s="169" t="n"/>
      <c r="G93" s="169" t="n"/>
      <c r="H93" s="169" t="n"/>
      <c r="I93" s="169" t="n"/>
      <c r="J93" s="169" t="n"/>
      <c r="K93" s="256" t="inlineStr">
        <is>
          <t>Excess carries forward to partners on K-1 L12</t>
        </is>
      </c>
    </row>
    <row r="94" ht="21.75" customHeight="1" s="104">
      <c r="B94" s="277" t="inlineStr">
        <is>
          <t>Eligible property</t>
        </is>
      </c>
      <c r="C94" s="248" t="inlineStr">
        <is>
          <t>Tangible personal property, QIP, certain software</t>
        </is>
      </c>
      <c r="D94" s="169" t="n"/>
      <c r="E94" s="169" t="n"/>
      <c r="F94" s="169" t="n"/>
      <c r="G94" s="169" t="n"/>
      <c r="H94" s="169" t="n"/>
      <c r="I94" s="169" t="n"/>
      <c r="J94" s="169" t="n"/>
      <c r="K94" s="256" t="inlineStr">
        <is>
          <t>NOT real property (unless QIP or elected)</t>
        </is>
      </c>
    </row>
    <row r="95"/>
    <row r="96" ht="21.75" customHeight="1" s="104">
      <c r="A96" s="297" t="inlineStr">
        <is>
          <t>1065 ADJUSTMENTS</t>
        </is>
      </c>
      <c r="B96" s="169" t="n"/>
      <c r="C96" s="169" t="n"/>
      <c r="D96" s="169" t="n"/>
      <c r="E96" s="169" t="n"/>
      <c r="F96" s="169" t="n"/>
      <c r="G96" s="169" t="n"/>
      <c r="H96" s="169" t="n"/>
      <c r="I96" s="169" t="n"/>
      <c r="J96" s="169" t="n"/>
      <c r="K96" s="170" t="n"/>
    </row>
    <row r="97" ht="15" customHeight="1" s="104">
      <c r="A97" s="287" t="inlineStr">
        <is>
          <t>#</t>
        </is>
      </c>
      <c r="B97" s="288" t="inlineStr">
        <is>
          <t>1065 Line</t>
        </is>
      </c>
      <c r="C97" s="288" t="inlineStr">
        <is>
          <t>Description</t>
        </is>
      </c>
      <c r="D97" s="288" t="inlineStr">
        <is>
          <t>Book Amt</t>
        </is>
      </c>
      <c r="E97" s="288" t="inlineStr">
        <is>
          <t>Tax Adj</t>
        </is>
      </c>
      <c r="F97" s="288" t="inlineStr">
        <is>
          <t>Tax Amt</t>
        </is>
      </c>
      <c r="G97" s="288" t="inlineStr">
        <is>
          <t>M-1 Line</t>
        </is>
      </c>
      <c r="H97" s="288" t="inlineStr">
        <is>
          <t>K Line</t>
        </is>
      </c>
      <c r="I97" s="288" t="inlineStr">
        <is>
          <t>WTB Row</t>
        </is>
      </c>
      <c r="J97" s="288" t="inlineStr">
        <is>
          <t>AJE Ref</t>
        </is>
      </c>
      <c r="K97" s="288" t="inlineStr">
        <is>
          <t>How to Handle</t>
        </is>
      </c>
    </row>
    <row r="98" ht="55.5" customHeight="1" s="104">
      <c r="A98" s="291" t="inlineStr">
        <is>
          <t>1</t>
        </is>
      </c>
      <c r="B98" s="248" t="inlineStr">
        <is>
          <t>P1 L16a
(Tax Depr)</t>
        </is>
      </c>
      <c r="C98" s="277" t="inlineStr">
        <is>
          <t>MACRS / Bonus Depreciation (tax depr &gt; book)</t>
        </is>
      </c>
      <c r="D98" s="294">
        <f>'Working Trial Balance'!D44</f>
        <v/>
      </c>
      <c r="E98" s="179" t="n"/>
      <c r="F98" s="294">
        <f>'Working Trial Balance'!H44</f>
        <v/>
      </c>
      <c r="G98" s="256" t="inlineStr">
        <is>
          <t>M-1 L4a (book depr)
M-1 L7 (tax depr excess)</t>
        </is>
      </c>
      <c r="H98" s="198" t="n"/>
      <c r="I98" s="256" t="inlineStr">
        <is>
          <t>Row 44</t>
        </is>
      </c>
      <c r="J98" s="256" t="inlineStr">
        <is>
          <t>AJE-01</t>
        </is>
      </c>
      <c r="K98" s="248" t="inlineStr">
        <is>
          <t>Book depreciation on P1 L16a. Tax MACRS/bonus in Adj(+) column. Difference = M-1 adjustment. Get from tax depreciation schedule. Existing AJE-01 on Adjustments tab handles this.</t>
        </is>
      </c>
    </row>
    <row r="99" ht="55.5" customHeight="1" s="104">
      <c r="A99" s="291" t="inlineStr">
        <is>
          <t>2</t>
        </is>
      </c>
      <c r="B99" s="248" t="inlineStr">
        <is>
          <t>K L12
(§179)</t>
        </is>
      </c>
      <c r="C99" s="277" t="inlineStr">
        <is>
          <t>Section 179 expense election</t>
        </is>
      </c>
      <c r="D99" s="294">
        <f>'Working Trial Balance'!D61</f>
        <v/>
      </c>
      <c r="E99" s="296">
        <f>'Working Trial Balance'!F84</f>
        <v/>
      </c>
      <c r="F99" s="294">
        <f>'Working Trial Balance'!H84</f>
        <v/>
      </c>
      <c r="G99" s="256" t="inlineStr">
        <is>
          <t>M-1 L7
(ded on return
not on books)</t>
        </is>
      </c>
      <c r="H99" s="256" t="inlineStr">
        <is>
          <t>K L12
(separately
stated)</t>
        </is>
      </c>
      <c r="I99" s="256" t="inlineStr">
        <is>
          <t>Row 84</t>
        </is>
      </c>
      <c r="J99" s="256" t="inlineStr">
        <is>
          <t>AJE-02</t>
        </is>
      </c>
      <c r="K99" s="248" t="inlineStr">
        <is>
          <t>Book: expensed as repair/cap improvement. Tax: capitalize then elect §179 on K L12. Separately stated — passes to each partner's K-1. Partner applies their own §179 limit. Existing AJE-02 on Adjustments tab.</t>
        </is>
      </c>
    </row>
    <row r="100" ht="55.5" customHeight="1" s="104">
      <c r="A100" s="291" t="inlineStr">
        <is>
          <t>3</t>
        </is>
      </c>
      <c r="B100" s="248" t="inlineStr">
        <is>
          <t>Schedule L
(L9-10)</t>
        </is>
      </c>
      <c r="C100" s="277" t="inlineStr">
        <is>
          <t>Fixed asset basis — tax vs book</t>
        </is>
      </c>
      <c r="D100" s="294">
        <f>'Working Trial Balance'!D10</f>
        <v/>
      </c>
      <c r="E100" s="179" t="n"/>
      <c r="F100" s="294">
        <f>'Working Trial Balance'!H10</f>
        <v/>
      </c>
      <c r="G100" s="198" t="n"/>
      <c r="H100" s="198" t="n"/>
      <c r="I100" s="256" t="inlineStr">
        <is>
          <t>Row 10</t>
        </is>
      </c>
      <c r="J100" s="256" t="inlineStr">
        <is>
          <t>AJE-01</t>
        </is>
      </c>
      <c r="K100" s="248" t="inlineStr">
        <is>
          <t>Tax basis of fixed assets differs from book due to bonus/179. Schedule L tax column reflects tax basis (lower if more depr taken). Tracked in Balance Sheet section of WTB.</t>
        </is>
      </c>
    </row>
    <row r="101"/>
    <row r="102" ht="21.75" customHeight="1" s="104">
      <c r="A102" s="297" t="inlineStr">
        <is>
          <t>DOCUMENTATION CHECKLIST</t>
        </is>
      </c>
      <c r="B102" s="169" t="n"/>
      <c r="C102" s="169" t="n"/>
      <c r="D102" s="169" t="n"/>
      <c r="E102" s="169" t="n"/>
      <c r="F102" s="169" t="n"/>
      <c r="G102" s="169" t="n"/>
      <c r="H102" s="169" t="n"/>
      <c r="I102" s="169" t="n"/>
      <c r="J102" s="169" t="n"/>
      <c r="K102" s="170" t="n"/>
    </row>
    <row r="103" ht="15" customHeight="1" s="104">
      <c r="A103" s="291" t="inlineStr">
        <is>
          <t>☐</t>
        </is>
      </c>
      <c r="B103" s="248" t="inlineStr">
        <is>
          <t>Tax depreciation schedule (MACRS lives, methods, conventions)</t>
        </is>
      </c>
      <c r="C103" s="169" t="n"/>
      <c r="D103" s="169" t="n"/>
      <c r="E103" s="169" t="n"/>
      <c r="F103" s="169" t="n"/>
      <c r="G103" s="169" t="n"/>
      <c r="H103" s="169" t="n"/>
      <c r="I103" s="170" t="n"/>
      <c r="J103" s="256" t="inlineStr">
        <is>
          <t>Entity file</t>
        </is>
      </c>
      <c r="K103" s="112" t="n"/>
    </row>
    <row r="104" ht="15" customHeight="1" s="104">
      <c r="A104" s="291" t="inlineStr">
        <is>
          <t>☐</t>
        </is>
      </c>
      <c r="B104" s="248" t="inlineStr">
        <is>
          <t>Asset purchase invoices / settlement statements (date placed in service)</t>
        </is>
      </c>
      <c r="C104" s="169" t="n"/>
      <c r="D104" s="169" t="n"/>
      <c r="E104" s="169" t="n"/>
      <c r="F104" s="169" t="n"/>
      <c r="G104" s="169" t="n"/>
      <c r="H104" s="169" t="n"/>
      <c r="I104" s="170" t="n"/>
      <c r="J104" s="256" t="inlineStr">
        <is>
          <t>Entity file</t>
        </is>
      </c>
      <c r="K104" s="112" t="n"/>
    </row>
    <row r="105" ht="15" customHeight="1" s="104">
      <c r="A105" s="291" t="inlineStr">
        <is>
          <t>☐</t>
        </is>
      </c>
      <c r="B105" s="248" t="inlineStr">
        <is>
          <t>Book depreciation schedule (for M-1 comparison)</t>
        </is>
      </c>
      <c r="C105" s="169" t="n"/>
      <c r="D105" s="169" t="n"/>
      <c r="E105" s="169" t="n"/>
      <c r="F105" s="169" t="n"/>
      <c r="G105" s="169" t="n"/>
      <c r="H105" s="169" t="n"/>
      <c r="I105" s="170" t="n"/>
      <c r="J105" s="256" t="inlineStr">
        <is>
          <t>Entity file</t>
        </is>
      </c>
      <c r="K105" s="112" t="n"/>
    </row>
    <row r="106" ht="15" customHeight="1" s="104">
      <c r="A106" s="291" t="inlineStr">
        <is>
          <t>☐</t>
        </is>
      </c>
      <c r="B106" s="248" t="inlineStr">
        <is>
          <t>§179 election statement (if electing)</t>
        </is>
      </c>
      <c r="C106" s="169" t="n"/>
      <c r="D106" s="169" t="n"/>
      <c r="E106" s="169" t="n"/>
      <c r="F106" s="169" t="n"/>
      <c r="G106" s="169" t="n"/>
      <c r="H106" s="169" t="n"/>
      <c r="I106" s="170" t="n"/>
      <c r="J106" s="256" t="inlineStr">
        <is>
          <t>Entity file</t>
        </is>
      </c>
      <c r="K106" s="112" t="n"/>
    </row>
    <row r="107" ht="15" customHeight="1" s="104">
      <c r="A107" s="291" t="inlineStr">
        <is>
          <t>☐</t>
        </is>
      </c>
      <c r="B107" s="248" t="inlineStr">
        <is>
          <t>Bonus depreciation calculation worksheet</t>
        </is>
      </c>
      <c r="C107" s="169" t="n"/>
      <c r="D107" s="169" t="n"/>
      <c r="E107" s="169" t="n"/>
      <c r="F107" s="169" t="n"/>
      <c r="G107" s="169" t="n"/>
      <c r="H107" s="169" t="n"/>
      <c r="I107" s="170" t="n"/>
      <c r="J107" s="256" t="inlineStr">
        <is>
          <t>Entity file</t>
        </is>
      </c>
      <c r="K107" s="112" t="n"/>
    </row>
    <row r="108" ht="15" customHeight="1" s="104">
      <c r="A108" s="291" t="inlineStr">
        <is>
          <t>☐</t>
        </is>
      </c>
      <c r="B108" s="248" t="inlineStr">
        <is>
          <t>Confirmation asset was placed in service before applicable deadline</t>
        </is>
      </c>
      <c r="C108" s="169" t="n"/>
      <c r="D108" s="169" t="n"/>
      <c r="E108" s="169" t="n"/>
      <c r="F108" s="169" t="n"/>
      <c r="G108" s="169" t="n"/>
      <c r="H108" s="169" t="n"/>
      <c r="I108" s="170" t="n"/>
      <c r="J108" s="256" t="inlineStr">
        <is>
          <t>Entity file</t>
        </is>
      </c>
      <c r="K108" s="112" t="n"/>
    </row>
    <row r="109"/>
    <row r="110" ht="25.5" customHeight="1" s="104">
      <c r="A110" s="303" t="inlineStr">
        <is>
          <t>5. COST SEGREGATION / STR / LTR / SELF-RENTAL</t>
        </is>
      </c>
    </row>
    <row r="111"/>
    <row r="112" ht="21.75" customHeight="1" s="104">
      <c r="A112" s="304" t="inlineStr">
        <is>
          <t>FIRM PARAMETERS</t>
        </is>
      </c>
      <c r="B112" s="169" t="n"/>
      <c r="C112" s="169" t="n"/>
      <c r="D112" s="169" t="n"/>
      <c r="E112" s="169" t="n"/>
      <c r="F112" s="169" t="n"/>
      <c r="G112" s="169" t="n"/>
      <c r="H112" s="169" t="n"/>
      <c r="I112" s="169" t="n"/>
      <c r="J112" s="169" t="n"/>
      <c r="K112" s="170" t="n"/>
    </row>
    <row r="113" ht="15" customHeight="1" s="104">
      <c r="A113" s="167" t="n"/>
      <c r="B113" s="288" t="inlineStr">
        <is>
          <t>Type</t>
        </is>
      </c>
      <c r="C113" s="288" t="inlineStr">
        <is>
          <t>Estimate / Rule</t>
        </is>
      </c>
      <c r="D113" s="167" t="n"/>
      <c r="E113" s="167" t="n"/>
      <c r="F113" s="167" t="n"/>
      <c r="G113" s="167" t="n"/>
      <c r="H113" s="167" t="n"/>
      <c r="I113" s="167" t="n"/>
      <c r="J113" s="167" t="n"/>
      <c r="K113" s="288" t="inlineStr">
        <is>
          <t>Notes</t>
        </is>
      </c>
    </row>
    <row r="114" ht="21.75" customHeight="1" s="104">
      <c r="B114" s="277" t="inlineStr">
        <is>
          <t>$1M purchase</t>
        </is>
      </c>
      <c r="C114" s="248" t="inlineStr">
        <is>
          <t>Est. bonus depreciation = $259,000</t>
        </is>
      </c>
      <c r="D114" s="169" t="n"/>
      <c r="E114" s="169" t="n"/>
      <c r="F114" s="169" t="n"/>
      <c r="G114" s="169" t="n"/>
      <c r="H114" s="169" t="n"/>
      <c r="I114" s="169" t="n"/>
      <c r="J114" s="169" t="n"/>
      <c r="K114" s="256" t="inlineStr">
        <is>
          <t>Estimated at 90/10 ratio (land/building)</t>
        </is>
      </c>
    </row>
    <row r="115" ht="21.75" customHeight="1" s="104">
      <c r="B115" s="277" t="inlineStr">
        <is>
          <t>$750K purchase</t>
        </is>
      </c>
      <c r="C115" s="248" t="inlineStr">
        <is>
          <t>Est. bonus depreciation = $194,000</t>
        </is>
      </c>
      <c r="D115" s="169" t="n"/>
      <c r="E115" s="169" t="n"/>
      <c r="F115" s="169" t="n"/>
      <c r="G115" s="169" t="n"/>
      <c r="H115" s="169" t="n"/>
      <c r="I115" s="169" t="n"/>
      <c r="J115" s="169" t="n"/>
      <c r="K115" s="256" t="inlineStr">
        <is>
          <t>Column label: LTR or STR w/ purchase price + est. bonus</t>
        </is>
      </c>
    </row>
    <row r="116" ht="21.75" customHeight="1" s="104">
      <c r="B116" s="277" t="inlineStr">
        <is>
          <t>$500K purchase</t>
        </is>
      </c>
      <c r="C116" s="248" t="inlineStr">
        <is>
          <t>Est. bonus depreciation = $129,000</t>
        </is>
      </c>
      <c r="D116" s="169" t="n"/>
      <c r="E116" s="169" t="n"/>
      <c r="F116" s="169" t="n"/>
      <c r="G116" s="169" t="n"/>
      <c r="H116" s="169" t="n"/>
      <c r="I116" s="169" t="n"/>
      <c r="J116" s="169" t="n"/>
      <c r="K116" s="256" t="inlineStr">
        <is>
          <t>Actual cost seg study will refine</t>
        </is>
      </c>
    </row>
    <row r="117" ht="21.75" customHeight="1" s="104">
      <c r="B117" s="277" t="inlineStr">
        <is>
          <t>$250K purchase</t>
        </is>
      </c>
      <c r="C117" s="248" t="inlineStr">
        <is>
          <t>Est. bonus depreciation = $64,000</t>
        </is>
      </c>
      <c r="D117" s="169" t="n"/>
      <c r="E117" s="169" t="n"/>
      <c r="F117" s="169" t="n"/>
      <c r="G117" s="169" t="n"/>
      <c r="H117" s="169" t="n"/>
      <c r="I117" s="169" t="n"/>
      <c r="J117" s="169" t="n"/>
      <c r="K117" s="256" t="inlineStr">
        <is>
          <t>Must have cost seg study performed</t>
        </is>
      </c>
    </row>
    <row r="118" ht="21.75" customHeight="1" s="104">
      <c r="B118" s="277" t="inlineStr">
        <is>
          <t>STR avg stay</t>
        </is>
      </c>
      <c r="C118" s="248" t="inlineStr">
        <is>
          <t>&lt;7 days avg tenant stay = STR</t>
        </is>
      </c>
      <c r="D118" s="169" t="n"/>
      <c r="E118" s="169" t="n"/>
      <c r="F118" s="169" t="n"/>
      <c r="G118" s="169" t="n"/>
      <c r="H118" s="169" t="n"/>
      <c r="I118" s="169" t="n"/>
      <c r="J118" s="169" t="n"/>
      <c r="K118" s="256" t="inlineStr">
        <is>
          <t>Material participation → nonpassive losses (offset W-2)</t>
        </is>
      </c>
    </row>
    <row r="119" ht="21.75" customHeight="1" s="104">
      <c r="B119" s="277" t="inlineStr">
        <is>
          <t>LTR</t>
        </is>
      </c>
      <c r="C119" s="248" t="inlineStr">
        <is>
          <t>&gt;7 days avg tenant stay</t>
        </is>
      </c>
      <c r="D119" s="169" t="n"/>
      <c r="E119" s="169" t="n"/>
      <c r="F119" s="169" t="n"/>
      <c r="G119" s="169" t="n"/>
      <c r="H119" s="169" t="n"/>
      <c r="I119" s="169" t="n"/>
      <c r="J119" s="169" t="n"/>
      <c r="K119" s="256" t="inlineStr">
        <is>
          <t>Passive activity — may need grouping election or REP status</t>
        </is>
      </c>
    </row>
    <row r="120" ht="21.75" customHeight="1" s="104">
      <c r="B120" s="277" t="inlineStr">
        <is>
          <t>Self-Rental</t>
        </is>
      </c>
      <c r="C120" s="248" t="inlineStr">
        <is>
          <t>Rental to own entity</t>
        </is>
      </c>
      <c r="D120" s="169" t="n"/>
      <c r="E120" s="169" t="n"/>
      <c r="F120" s="169" t="n"/>
      <c r="G120" s="169" t="n"/>
      <c r="H120" s="169" t="n"/>
      <c r="I120" s="169" t="n"/>
      <c r="J120" s="169" t="n"/>
      <c r="K120" s="256" t="inlineStr">
        <is>
          <t>Recharacterized as nonpassive if entity has net income</t>
        </is>
      </c>
    </row>
    <row r="121"/>
    <row r="122" ht="21.75" customHeight="1" s="104">
      <c r="A122" s="297" t="inlineStr">
        <is>
          <t>1065 ADJUSTMENTS</t>
        </is>
      </c>
      <c r="B122" s="169" t="n"/>
      <c r="C122" s="169" t="n"/>
      <c r="D122" s="169" t="n"/>
      <c r="E122" s="169" t="n"/>
      <c r="F122" s="169" t="n"/>
      <c r="G122" s="169" t="n"/>
      <c r="H122" s="169" t="n"/>
      <c r="I122" s="169" t="n"/>
      <c r="J122" s="169" t="n"/>
      <c r="K122" s="170" t="n"/>
    </row>
    <row r="123" ht="15" customHeight="1" s="104">
      <c r="A123" s="287" t="inlineStr">
        <is>
          <t>#</t>
        </is>
      </c>
      <c r="B123" s="288" t="inlineStr">
        <is>
          <t>1065 Line</t>
        </is>
      </c>
      <c r="C123" s="288" t="inlineStr">
        <is>
          <t>Description</t>
        </is>
      </c>
      <c r="D123" s="288" t="inlineStr">
        <is>
          <t>Book Amt</t>
        </is>
      </c>
      <c r="E123" s="288" t="inlineStr">
        <is>
          <t>Tax Adj</t>
        </is>
      </c>
      <c r="F123" s="288" t="inlineStr">
        <is>
          <t>Tax Amt</t>
        </is>
      </c>
      <c r="G123" s="288" t="inlineStr">
        <is>
          <t>M-1 Line</t>
        </is>
      </c>
      <c r="H123" s="288" t="inlineStr">
        <is>
          <t>K Line</t>
        </is>
      </c>
      <c r="I123" s="288" t="inlineStr">
        <is>
          <t>WTB Row</t>
        </is>
      </c>
      <c r="J123" s="288" t="inlineStr">
        <is>
          <t>AJE Ref</t>
        </is>
      </c>
      <c r="K123" s="288" t="inlineStr">
        <is>
          <t>How to Handle</t>
        </is>
      </c>
    </row>
    <row r="124" ht="55.5" customHeight="1" s="104">
      <c r="A124" s="291" t="inlineStr">
        <is>
          <t>1</t>
        </is>
      </c>
      <c r="B124" s="248" t="inlineStr">
        <is>
          <t>K L2
(Rental RE)</t>
        </is>
      </c>
      <c r="C124" s="277" t="inlineStr">
        <is>
          <t>Net rental real estate income (Form 8825)</t>
        </is>
      </c>
      <c r="D124" s="294">
        <f>'Working Trial Balance'!D71</f>
        <v/>
      </c>
      <c r="E124" s="296">
        <f>'Working Trial Balance'!F71</f>
        <v/>
      </c>
      <c r="F124" s="294">
        <f>'Working Trial Balance'!H71</f>
        <v/>
      </c>
      <c r="G124" s="256" t="inlineStr">
        <is>
          <t>M-1 L7
(tax depr &gt; book)</t>
        </is>
      </c>
      <c r="H124" s="256" t="inlineStr">
        <is>
          <t>K L2
(separately
stated)</t>
        </is>
      </c>
      <c r="I124" s="256" t="inlineStr">
        <is>
          <t>Row 71</t>
        </is>
      </c>
      <c r="J124" s="256" t="inlineStr">
        <is>
          <t>AJE-05</t>
        </is>
      </c>
      <c r="K124" s="248" t="inlineStr">
        <is>
          <t>Cost seg accelerates depreciation → large tax loss in year 1. Book depreciation = straight line. Tax = accelerated + bonus from cost seg study. Difference flows through M-1. Report on Form 8825 (rental RE).</t>
        </is>
      </c>
    </row>
    <row r="125" ht="55.5" customHeight="1" s="104">
      <c r="A125" s="291" t="inlineStr">
        <is>
          <t>2</t>
        </is>
      </c>
      <c r="B125" s="248" t="inlineStr">
        <is>
          <t>K L3c
(Other Rental)</t>
        </is>
      </c>
      <c r="C125" s="277" t="inlineStr">
        <is>
          <t>Net other rental income (equipment / STR if applicable)</t>
        </is>
      </c>
      <c r="D125" s="294">
        <f>'Working Trial Balance'!D72</f>
        <v/>
      </c>
      <c r="E125" s="179" t="n"/>
      <c r="F125" s="294">
        <f>'Working Trial Balance'!H72</f>
        <v/>
      </c>
      <c r="G125" s="198" t="n"/>
      <c r="H125" s="256" t="inlineStr">
        <is>
          <t>K L3c</t>
        </is>
      </c>
      <c r="I125" s="256" t="inlineStr">
        <is>
          <t>Row 72</t>
        </is>
      </c>
      <c r="J125" s="174" t="n"/>
      <c r="K125" s="248" t="inlineStr">
        <is>
          <t>Equipment rental or STR that doesn't use Form 8825. Same cost seg logic applies for personal property components.</t>
        </is>
      </c>
    </row>
    <row r="126" ht="55.5" customHeight="1" s="104">
      <c r="A126" s="291" t="inlineStr">
        <is>
          <t>3</t>
        </is>
      </c>
      <c r="B126" s="248" t="inlineStr">
        <is>
          <t>K-1 Box 2 or 3</t>
        </is>
      </c>
      <c r="C126" s="277" t="inlineStr">
        <is>
          <t>Rental loss allocated to partners</t>
        </is>
      </c>
      <c r="D126" s="188" t="n"/>
      <c r="E126" s="179" t="n"/>
      <c r="F126" s="187" t="n"/>
      <c r="G126" s="198" t="n"/>
      <c r="H126" s="198" t="n"/>
      <c r="I126" s="174" t="n"/>
      <c r="J126" s="174" t="n"/>
      <c r="K126" s="248" t="inlineStr">
        <is>
          <t>STR (&lt;7 day avg): If partner materially participates → loss is NONPASSIVE → offsets W-2/K-1 income. LTR: Loss is PASSIVE — limited to passive income unless partner is Real Estate Professional (REP). Self-Rental: Recharacterized as nonpassive if entity using the property has net income.</t>
        </is>
      </c>
    </row>
    <row r="127" ht="55.5" customHeight="1" s="104">
      <c r="A127" s="291" t="inlineStr">
        <is>
          <t>4</t>
        </is>
      </c>
      <c r="B127" s="248" t="inlineStr">
        <is>
          <t>Schedule L
(L9-10)</t>
        </is>
      </c>
      <c r="C127" s="277" t="inlineStr">
        <is>
          <t>Rental property basis — tax vs book</t>
        </is>
      </c>
      <c r="D127" s="188" t="n"/>
      <c r="E127" s="179" t="n"/>
      <c r="F127" s="187" t="n"/>
      <c r="G127" s="198" t="n"/>
      <c r="H127" s="198" t="n"/>
      <c r="I127" s="256" t="inlineStr">
        <is>
          <t>Row 10</t>
        </is>
      </c>
      <c r="J127" s="174" t="n"/>
      <c r="K127" s="248" t="inlineStr">
        <is>
          <t>Tax basis much lower after cost seg + bonus depr. Schedule L tax column should reflect accelerated tax basis.</t>
        </is>
      </c>
    </row>
    <row r="128"/>
    <row r="129" ht="21.75" customHeight="1" s="104">
      <c r="A129" s="297" t="inlineStr">
        <is>
          <t>DOCUMENTATION CHECKLIST</t>
        </is>
      </c>
      <c r="B129" s="169" t="n"/>
      <c r="C129" s="169" t="n"/>
      <c r="D129" s="169" t="n"/>
      <c r="E129" s="169" t="n"/>
      <c r="F129" s="169" t="n"/>
      <c r="G129" s="169" t="n"/>
      <c r="H129" s="169" t="n"/>
      <c r="I129" s="169" t="n"/>
      <c r="J129" s="169" t="n"/>
      <c r="K129" s="170" t="n"/>
    </row>
    <row r="130" ht="15" customHeight="1" s="104">
      <c r="A130" s="291" t="inlineStr">
        <is>
          <t>☐</t>
        </is>
      </c>
      <c r="B130" s="248" t="inlineStr">
        <is>
          <t>Cost segregation study from qualified engineer/firm</t>
        </is>
      </c>
      <c r="C130" s="169" t="n"/>
      <c r="D130" s="169" t="n"/>
      <c r="E130" s="169" t="n"/>
      <c r="F130" s="169" t="n"/>
      <c r="G130" s="169" t="n"/>
      <c r="H130" s="169" t="n"/>
      <c r="I130" s="170" t="n"/>
      <c r="J130" s="256" t="inlineStr">
        <is>
          <t>Entity file</t>
        </is>
      </c>
      <c r="K130" s="112" t="n"/>
    </row>
    <row r="131" ht="15" customHeight="1" s="104">
      <c r="A131" s="291" t="inlineStr">
        <is>
          <t>☐</t>
        </is>
      </c>
      <c r="B131" s="248" t="inlineStr">
        <is>
          <t>Property purchase settlement statement (HUD-1 or Closing Disclosure)</t>
        </is>
      </c>
      <c r="C131" s="169" t="n"/>
      <c r="D131" s="169" t="n"/>
      <c r="E131" s="169" t="n"/>
      <c r="F131" s="169" t="n"/>
      <c r="G131" s="169" t="n"/>
      <c r="H131" s="169" t="n"/>
      <c r="I131" s="170" t="n"/>
      <c r="J131" s="256" t="inlineStr">
        <is>
          <t>Entity file</t>
        </is>
      </c>
      <c r="K131" s="112" t="n"/>
    </row>
    <row r="132" ht="15" customHeight="1" s="104">
      <c r="A132" s="291" t="inlineStr">
        <is>
          <t>☐</t>
        </is>
      </c>
      <c r="B132" s="248" t="inlineStr">
        <is>
          <t>Rental income/expense schedule per property</t>
        </is>
      </c>
      <c r="C132" s="169" t="n"/>
      <c r="D132" s="169" t="n"/>
      <c r="E132" s="169" t="n"/>
      <c r="F132" s="169" t="n"/>
      <c r="G132" s="169" t="n"/>
      <c r="H132" s="169" t="n"/>
      <c r="I132" s="170" t="n"/>
      <c r="J132" s="256" t="inlineStr">
        <is>
          <t>Entity file</t>
        </is>
      </c>
      <c r="K132" s="112" t="n"/>
    </row>
    <row r="133" ht="15" customHeight="1" s="104">
      <c r="A133" s="291" t="inlineStr">
        <is>
          <t>☐</t>
        </is>
      </c>
      <c r="B133" s="248" t="inlineStr">
        <is>
          <t>Form 8825 workpaper (rental real estate)</t>
        </is>
      </c>
      <c r="C133" s="169" t="n"/>
      <c r="D133" s="169" t="n"/>
      <c r="E133" s="169" t="n"/>
      <c r="F133" s="169" t="n"/>
      <c r="G133" s="169" t="n"/>
      <c r="H133" s="169" t="n"/>
      <c r="I133" s="170" t="n"/>
      <c r="J133" s="256" t="inlineStr">
        <is>
          <t>Entity file</t>
        </is>
      </c>
      <c r="K133" s="112" t="n"/>
    </row>
    <row r="134" ht="15" customHeight="1" s="104">
      <c r="A134" s="291" t="inlineStr">
        <is>
          <t>☐</t>
        </is>
      </c>
      <c r="B134" s="248" t="inlineStr">
        <is>
          <t>Material participation log (for STR — hours, activities)</t>
        </is>
      </c>
      <c r="C134" s="169" t="n"/>
      <c r="D134" s="169" t="n"/>
      <c r="E134" s="169" t="n"/>
      <c r="F134" s="169" t="n"/>
      <c r="G134" s="169" t="n"/>
      <c r="H134" s="169" t="n"/>
      <c r="I134" s="170" t="n"/>
      <c r="J134" s="256" t="inlineStr">
        <is>
          <t>Entity file</t>
        </is>
      </c>
      <c r="K134" s="112" t="n"/>
    </row>
    <row r="135" ht="15" customHeight="1" s="104">
      <c r="A135" s="291" t="inlineStr">
        <is>
          <t>☐</t>
        </is>
      </c>
      <c r="B135" s="248" t="inlineStr">
        <is>
          <t>Average stay calculation (for STR classification — &lt;7 days)</t>
        </is>
      </c>
      <c r="C135" s="169" t="n"/>
      <c r="D135" s="169" t="n"/>
      <c r="E135" s="169" t="n"/>
      <c r="F135" s="169" t="n"/>
      <c r="G135" s="169" t="n"/>
      <c r="H135" s="169" t="n"/>
      <c r="I135" s="170" t="n"/>
      <c r="J135" s="256" t="inlineStr">
        <is>
          <t>Entity file</t>
        </is>
      </c>
      <c r="K135" s="112" t="n"/>
    </row>
    <row r="136" ht="15" customHeight="1" s="104">
      <c r="A136" s="291" t="inlineStr">
        <is>
          <t>☐</t>
        </is>
      </c>
      <c r="B136" s="248" t="inlineStr">
        <is>
          <t>Grouping election statement (if grouping rental with trade/business)</t>
        </is>
      </c>
      <c r="C136" s="169" t="n"/>
      <c r="D136" s="169" t="n"/>
      <c r="E136" s="169" t="n"/>
      <c r="F136" s="169" t="n"/>
      <c r="G136" s="169" t="n"/>
      <c r="H136" s="169" t="n"/>
      <c r="I136" s="170" t="n"/>
      <c r="J136" s="256" t="inlineStr">
        <is>
          <t>Entity file</t>
        </is>
      </c>
      <c r="K136" s="112" t="n"/>
    </row>
    <row r="137" ht="15" customHeight="1" s="104">
      <c r="A137" s="291" t="inlineStr">
        <is>
          <t>☐</t>
        </is>
      </c>
      <c r="B137" s="248" t="inlineStr">
        <is>
          <t>REP status documentation (if claiming Real Estate Professional)</t>
        </is>
      </c>
      <c r="C137" s="169" t="n"/>
      <c r="D137" s="169" t="n"/>
      <c r="E137" s="169" t="n"/>
      <c r="F137" s="169" t="n"/>
      <c r="G137" s="169" t="n"/>
      <c r="H137" s="169" t="n"/>
      <c r="I137" s="170" t="n"/>
      <c r="J137" s="256" t="inlineStr">
        <is>
          <t>Entity file</t>
        </is>
      </c>
      <c r="K137" s="112" t="n"/>
    </row>
    <row r="138" ht="15" customHeight="1" s="104">
      <c r="A138" s="291" t="inlineStr">
        <is>
          <t>☐</t>
        </is>
      </c>
      <c r="B138" s="248" t="inlineStr">
        <is>
          <t>Self-rental recharacterization analysis (if renting to own entity)</t>
        </is>
      </c>
      <c r="C138" s="169" t="n"/>
      <c r="D138" s="169" t="n"/>
      <c r="E138" s="169" t="n"/>
      <c r="F138" s="169" t="n"/>
      <c r="G138" s="169" t="n"/>
      <c r="H138" s="169" t="n"/>
      <c r="I138" s="170" t="n"/>
      <c r="J138" s="256" t="inlineStr">
        <is>
          <t>Entity file</t>
        </is>
      </c>
      <c r="K138" s="112" t="n"/>
    </row>
    <row r="139"/>
    <row r="140" ht="25.5" customHeight="1" s="104">
      <c r="A140" s="303" t="inlineStr">
        <is>
          <t>6. STR LAUNCH EXPENSES (Short-Term Rental Startup Costs)</t>
        </is>
      </c>
    </row>
    <row r="141"/>
    <row r="142" ht="21.75" customHeight="1" s="104">
      <c r="A142" s="304" t="inlineStr">
        <is>
          <t>FIRM PARAMETERS</t>
        </is>
      </c>
      <c r="B142" s="169" t="n"/>
      <c r="C142" s="169" t="n"/>
      <c r="D142" s="169" t="n"/>
      <c r="E142" s="169" t="n"/>
      <c r="F142" s="169" t="n"/>
      <c r="G142" s="169" t="n"/>
      <c r="H142" s="169" t="n"/>
      <c r="I142" s="169" t="n"/>
      <c r="J142" s="169" t="n"/>
      <c r="K142" s="170" t="n"/>
    </row>
    <row r="143" ht="15" customHeight="1" s="104">
      <c r="A143" s="167" t="n"/>
      <c r="B143" s="288" t="inlineStr">
        <is>
          <t>Criteria</t>
        </is>
      </c>
      <c r="C143" s="288" t="inlineStr">
        <is>
          <t>Estimate</t>
        </is>
      </c>
      <c r="D143" s="167" t="n"/>
      <c r="E143" s="167" t="n"/>
      <c r="F143" s="167" t="n"/>
      <c r="G143" s="167" t="n"/>
      <c r="H143" s="167" t="n"/>
      <c r="I143" s="167" t="n"/>
      <c r="J143" s="167" t="n"/>
      <c r="K143" s="288" t="inlineStr">
        <is>
          <t>Notes</t>
        </is>
      </c>
    </row>
    <row r="144" ht="21.75" customHeight="1" s="104">
      <c r="B144" s="277" t="inlineStr">
        <is>
          <t>Purchase &gt; $501K</t>
        </is>
      </c>
      <c r="C144" s="248" t="inlineStr">
        <is>
          <t>$25,000 per property estimated expenses</t>
        </is>
      </c>
      <c r="D144" s="169" t="n"/>
      <c r="E144" s="169" t="n"/>
      <c r="F144" s="169" t="n"/>
      <c r="G144" s="169" t="n"/>
      <c r="H144" s="169" t="n"/>
      <c r="I144" s="169" t="n"/>
      <c r="J144" s="169" t="n"/>
      <c r="K144" s="256" t="inlineStr">
        <is>
          <t>Furnishing, setup, photography, listing fees, etc.</t>
        </is>
      </c>
    </row>
    <row r="145" ht="21.75" customHeight="1" s="104">
      <c r="B145" s="277" t="inlineStr">
        <is>
          <t>Purchase ≤ $500K</t>
        </is>
      </c>
      <c r="C145" s="248" t="inlineStr">
        <is>
          <t>$15,000 per property estimated expenses</t>
        </is>
      </c>
      <c r="D145" s="169" t="n"/>
      <c r="E145" s="169" t="n"/>
      <c r="F145" s="169" t="n"/>
      <c r="G145" s="169" t="n"/>
      <c r="H145" s="169" t="n"/>
      <c r="I145" s="169" t="n"/>
      <c r="J145" s="169" t="n"/>
      <c r="K145" s="256" t="inlineStr">
        <is>
          <t>Furnishing, setup, photography, listing fees, etc.</t>
        </is>
      </c>
    </row>
    <row r="146" ht="21.75" customHeight="1" s="104">
      <c r="B146" s="277" t="inlineStr">
        <is>
          <t>Applies to</t>
        </is>
      </c>
      <c r="C146" s="248" t="inlineStr">
        <is>
          <t>STR properties ONLY</t>
        </is>
      </c>
      <c r="D146" s="169" t="n"/>
      <c r="E146" s="169" t="n"/>
      <c r="F146" s="169" t="n"/>
      <c r="G146" s="169" t="n"/>
      <c r="H146" s="169" t="n"/>
      <c r="I146" s="169" t="n"/>
      <c r="J146" s="169" t="n"/>
      <c r="K146" s="256" t="inlineStr">
        <is>
          <t>Not applicable to LTR — no launch expenses</t>
        </is>
      </c>
    </row>
    <row r="147" ht="21.75" customHeight="1" s="104">
      <c r="B147" s="277" t="inlineStr">
        <is>
          <t>Deductibility</t>
        </is>
      </c>
      <c r="C147" s="248" t="inlineStr">
        <is>
          <t>Ordinary and necessary business expenses</t>
        </is>
      </c>
      <c r="D147" s="169" t="n"/>
      <c r="E147" s="169" t="n"/>
      <c r="F147" s="169" t="n"/>
      <c r="G147" s="169" t="n"/>
      <c r="H147" s="169" t="n"/>
      <c r="I147" s="169" t="n"/>
      <c r="J147" s="169" t="n"/>
      <c r="K147" s="256" t="inlineStr">
        <is>
          <t>Some may need to be capitalized (improvements vs repairs)</t>
        </is>
      </c>
    </row>
    <row r="148"/>
    <row r="149" ht="21.75" customHeight="1" s="104">
      <c r="A149" s="297" t="inlineStr">
        <is>
          <t>1065 ADJUSTMENTS</t>
        </is>
      </c>
      <c r="B149" s="169" t="n"/>
      <c r="C149" s="169" t="n"/>
      <c r="D149" s="169" t="n"/>
      <c r="E149" s="169" t="n"/>
      <c r="F149" s="169" t="n"/>
      <c r="G149" s="169" t="n"/>
      <c r="H149" s="169" t="n"/>
      <c r="I149" s="169" t="n"/>
      <c r="J149" s="169" t="n"/>
      <c r="K149" s="170" t="n"/>
    </row>
    <row r="150" ht="15" customHeight="1" s="104">
      <c r="A150" s="287" t="inlineStr">
        <is>
          <t>#</t>
        </is>
      </c>
      <c r="B150" s="288" t="inlineStr">
        <is>
          <t>1065 Line</t>
        </is>
      </c>
      <c r="C150" s="288" t="inlineStr">
        <is>
          <t>Description</t>
        </is>
      </c>
      <c r="D150" s="288" t="inlineStr">
        <is>
          <t>Book Amt</t>
        </is>
      </c>
      <c r="E150" s="288" t="inlineStr">
        <is>
          <t>Tax Adj</t>
        </is>
      </c>
      <c r="F150" s="288" t="inlineStr">
        <is>
          <t>Tax Amt</t>
        </is>
      </c>
      <c r="G150" s="288" t="inlineStr">
        <is>
          <t>M-1 Line</t>
        </is>
      </c>
      <c r="H150" s="288" t="inlineStr">
        <is>
          <t>K Line</t>
        </is>
      </c>
      <c r="I150" s="288" t="inlineStr">
        <is>
          <t>WTB Row</t>
        </is>
      </c>
      <c r="J150" s="288" t="inlineStr">
        <is>
          <t>AJE Ref</t>
        </is>
      </c>
      <c r="K150" s="288" t="inlineStr">
        <is>
          <t>How to Handle</t>
        </is>
      </c>
    </row>
    <row r="151" ht="55.5" customHeight="1" s="104">
      <c r="A151" s="291" t="inlineStr">
        <is>
          <t>1</t>
        </is>
      </c>
      <c r="B151" s="248" t="inlineStr">
        <is>
          <t>Form 8825 /
K L2</t>
        </is>
      </c>
      <c r="C151" s="277" t="inlineStr">
        <is>
          <t>STR operating expenses (furnishing, setup, photos, etc.)</t>
        </is>
      </c>
      <c r="D151" s="188" t="n"/>
      <c r="E151" s="179" t="n"/>
      <c r="F151" s="187" t="n"/>
      <c r="G151" s="256" t="inlineStr">
        <is>
          <t>None if on books.
M-1 L7 if not.</t>
        </is>
      </c>
      <c r="H151" s="256" t="inlineStr">
        <is>
          <t>Reduces K L2
(rental income)</t>
        </is>
      </c>
      <c r="I151" s="256" t="inlineStr">
        <is>
          <t>Row 71</t>
        </is>
      </c>
      <c r="J151" s="174" t="n"/>
      <c r="K151" s="248" t="inlineStr">
        <is>
          <t>Expenses reduce rental income on Form 8825 / K L2. Furniture under $2,500 = de minimis safe harbor (expense immediately). Over $2,500 = capitalize and depreciate (5yr or 7yr depending on type). Photography, listing fees, cleaning supplies = ordinary expenses.</t>
        </is>
      </c>
    </row>
    <row r="152" ht="55.5" customHeight="1" s="104">
      <c r="A152" s="291" t="inlineStr">
        <is>
          <t>2</t>
        </is>
      </c>
      <c r="B152" s="248" t="inlineStr">
        <is>
          <t>Form 8825 /
K L2</t>
        </is>
      </c>
      <c r="C152" s="277" t="inlineStr">
        <is>
          <t>Startup costs (§195) if rental not yet active</t>
        </is>
      </c>
      <c r="D152" s="188" t="n"/>
      <c r="E152" s="179" t="n"/>
      <c r="F152" s="187" t="n"/>
      <c r="G152" s="198" t="n"/>
      <c r="H152" s="198" t="n"/>
      <c r="I152" s="174" t="n"/>
      <c r="J152" s="174" t="n"/>
      <c r="K152" s="248" t="inlineStr">
        <is>
          <t>If STR was not yet "available for rent" by year-end: capitalize as startup costs under §195. $5,000 deductible in first year, remainder amortized over 180 months. Starts when property is listed/available.</t>
        </is>
      </c>
    </row>
    <row r="153"/>
    <row r="154" ht="21.75" customHeight="1" s="104">
      <c r="A154" s="297" t="inlineStr">
        <is>
          <t>DOCUMENTATION CHECKLIST</t>
        </is>
      </c>
      <c r="B154" s="169" t="n"/>
      <c r="C154" s="169" t="n"/>
      <c r="D154" s="169" t="n"/>
      <c r="E154" s="169" t="n"/>
      <c r="F154" s="169" t="n"/>
      <c r="G154" s="169" t="n"/>
      <c r="H154" s="169" t="n"/>
      <c r="I154" s="169" t="n"/>
      <c r="J154" s="169" t="n"/>
      <c r="K154" s="170" t="n"/>
    </row>
    <row r="155" ht="15" customHeight="1" s="104">
      <c r="A155" s="291" t="inlineStr">
        <is>
          <t>☐</t>
        </is>
      </c>
      <c r="B155" s="248" t="inlineStr">
        <is>
          <t>Receipts for all furnishing and setup costs</t>
        </is>
      </c>
      <c r="C155" s="169" t="n"/>
      <c r="D155" s="169" t="n"/>
      <c r="E155" s="169" t="n"/>
      <c r="F155" s="169" t="n"/>
      <c r="G155" s="169" t="n"/>
      <c r="H155" s="169" t="n"/>
      <c r="I155" s="170" t="n"/>
      <c r="J155" s="256" t="inlineStr">
        <is>
          <t>Entity file</t>
        </is>
      </c>
      <c r="K155" s="112" t="n"/>
    </row>
    <row r="156" ht="15" customHeight="1" s="104">
      <c r="A156" s="291" t="inlineStr">
        <is>
          <t>☐</t>
        </is>
      </c>
      <c r="B156" s="248" t="inlineStr">
        <is>
          <t>Airbnb/VRBO listing confirmation (date property went live)</t>
        </is>
      </c>
      <c r="C156" s="169" t="n"/>
      <c r="D156" s="169" t="n"/>
      <c r="E156" s="169" t="n"/>
      <c r="F156" s="169" t="n"/>
      <c r="G156" s="169" t="n"/>
      <c r="H156" s="169" t="n"/>
      <c r="I156" s="170" t="n"/>
      <c r="J156" s="256" t="inlineStr">
        <is>
          <t>Entity file</t>
        </is>
      </c>
      <c r="K156" s="112" t="n"/>
    </row>
    <row r="157" ht="15" customHeight="1" s="104">
      <c r="A157" s="291" t="inlineStr">
        <is>
          <t>☐</t>
        </is>
      </c>
      <c r="B157" s="248" t="inlineStr">
        <is>
          <t>Photography invoice</t>
        </is>
      </c>
      <c r="C157" s="169" t="n"/>
      <c r="D157" s="169" t="n"/>
      <c r="E157" s="169" t="n"/>
      <c r="F157" s="169" t="n"/>
      <c r="G157" s="169" t="n"/>
      <c r="H157" s="169" t="n"/>
      <c r="I157" s="170" t="n"/>
      <c r="J157" s="256" t="inlineStr">
        <is>
          <t>Entity file</t>
        </is>
      </c>
      <c r="K157" s="112" t="n"/>
    </row>
    <row r="158" ht="15" customHeight="1" s="104">
      <c r="A158" s="291" t="inlineStr">
        <is>
          <t>☐</t>
        </is>
      </c>
      <c r="B158" s="248" t="inlineStr">
        <is>
          <t>Interior design / staging invoices</t>
        </is>
      </c>
      <c r="C158" s="169" t="n"/>
      <c r="D158" s="169" t="n"/>
      <c r="E158" s="169" t="n"/>
      <c r="F158" s="169" t="n"/>
      <c r="G158" s="169" t="n"/>
      <c r="H158" s="169" t="n"/>
      <c r="I158" s="170" t="n"/>
      <c r="J158" s="256" t="inlineStr">
        <is>
          <t>Entity file</t>
        </is>
      </c>
      <c r="K158" s="112" t="n"/>
    </row>
    <row r="159" ht="15" customHeight="1" s="104">
      <c r="A159" s="291" t="inlineStr">
        <is>
          <t>☐</t>
        </is>
      </c>
      <c r="B159" s="248" t="inlineStr">
        <is>
          <t>Cleaning supplies and initial inventory receipts</t>
        </is>
      </c>
      <c r="C159" s="169" t="n"/>
      <c r="D159" s="169" t="n"/>
      <c r="E159" s="169" t="n"/>
      <c r="F159" s="169" t="n"/>
      <c r="G159" s="169" t="n"/>
      <c r="H159" s="169" t="n"/>
      <c r="I159" s="170" t="n"/>
      <c r="J159" s="256" t="inlineStr">
        <is>
          <t>Entity file</t>
        </is>
      </c>
      <c r="K159" s="112" t="n"/>
    </row>
    <row r="160" ht="15" customHeight="1" s="104">
      <c r="A160" s="291" t="inlineStr">
        <is>
          <t>☐</t>
        </is>
      </c>
      <c r="B160" s="248" t="inlineStr">
        <is>
          <t>Property management setup fees (if applicable)</t>
        </is>
      </c>
      <c r="C160" s="169" t="n"/>
      <c r="D160" s="169" t="n"/>
      <c r="E160" s="169" t="n"/>
      <c r="F160" s="169" t="n"/>
      <c r="G160" s="169" t="n"/>
      <c r="H160" s="169" t="n"/>
      <c r="I160" s="170" t="n"/>
      <c r="J160" s="256" t="inlineStr">
        <is>
          <t>Entity file</t>
        </is>
      </c>
      <c r="K160" s="112" t="n"/>
    </row>
    <row r="161" ht="15" customHeight="1" s="104">
      <c r="A161" s="291" t="inlineStr">
        <is>
          <t>☐</t>
        </is>
      </c>
      <c r="B161" s="248" t="inlineStr">
        <is>
          <t>De minimis safe harbor election statement (for items ≤$2,500)</t>
        </is>
      </c>
      <c r="C161" s="169" t="n"/>
      <c r="D161" s="169" t="n"/>
      <c r="E161" s="169" t="n"/>
      <c r="F161" s="169" t="n"/>
      <c r="G161" s="169" t="n"/>
      <c r="H161" s="169" t="n"/>
      <c r="I161" s="170" t="n"/>
      <c r="J161" s="256" t="inlineStr">
        <is>
          <t>Entity file</t>
        </is>
      </c>
      <c r="K161" s="112" t="n"/>
    </row>
    <row r="162"/>
    <row r="163" ht="25.5" customHeight="1" s="104">
      <c r="A163" s="303" t="inlineStr">
        <is>
          <t>7. PTE CREDIT — PASS-THROUGH ENTITY TAX (State-Level SALT Workaround)</t>
        </is>
      </c>
    </row>
    <row r="164"/>
    <row r="165" ht="21.75" customHeight="1" s="104">
      <c r="A165" s="304" t="inlineStr">
        <is>
          <t>FIRM PARAMETERS</t>
        </is>
      </c>
      <c r="B165" s="169" t="n"/>
      <c r="C165" s="169" t="n"/>
      <c r="D165" s="169" t="n"/>
      <c r="E165" s="169" t="n"/>
      <c r="F165" s="169" t="n"/>
      <c r="G165" s="169" t="n"/>
      <c r="H165" s="169" t="n"/>
      <c r="I165" s="169" t="n"/>
      <c r="J165" s="169" t="n"/>
      <c r="K165" s="170" t="n"/>
    </row>
    <row r="166" ht="15" customHeight="1" s="104">
      <c r="A166" s="167" t="n"/>
      <c r="B166" s="288" t="inlineStr">
        <is>
          <t>Criteria</t>
        </is>
      </c>
      <c r="C166" s="288" t="inlineStr">
        <is>
          <t>Rule</t>
        </is>
      </c>
      <c r="D166" s="167" t="n"/>
      <c r="E166" s="167" t="n"/>
      <c r="F166" s="167" t="n"/>
      <c r="G166" s="167" t="n"/>
      <c r="H166" s="167" t="n"/>
      <c r="I166" s="167" t="n"/>
      <c r="J166" s="167" t="n"/>
      <c r="K166" s="288" t="inlineStr">
        <is>
          <t>Notes</t>
        </is>
      </c>
    </row>
    <row r="167" ht="21.75" customHeight="1" s="104">
      <c r="B167" s="277" t="inlineStr">
        <is>
          <t>Calculation</t>
        </is>
      </c>
      <c r="C167" s="248" t="inlineStr">
        <is>
          <t>Customized per state — see PTE by State tab</t>
        </is>
      </c>
      <c r="D167" s="169" t="n"/>
      <c r="E167" s="169" t="n"/>
      <c r="F167" s="169" t="n"/>
      <c r="G167" s="169" t="n"/>
      <c r="H167" s="169" t="n"/>
      <c r="I167" s="169" t="n"/>
      <c r="J167" s="169" t="n"/>
      <c r="K167" s="256" t="inlineStr">
        <is>
          <t>Entity elects to pay state tax at entity level</t>
        </is>
      </c>
    </row>
    <row r="168" ht="21.75" customHeight="1" s="104">
      <c r="B168" s="277" t="inlineStr">
        <is>
          <t>SALT cap workaround</t>
        </is>
      </c>
      <c r="C168" s="248" t="inlineStr">
        <is>
          <t>Avoids $10K SALT deduction cap on individual returns</t>
        </is>
      </c>
      <c r="D168" s="169" t="n"/>
      <c r="E168" s="169" t="n"/>
      <c r="F168" s="169" t="n"/>
      <c r="G168" s="169" t="n"/>
      <c r="H168" s="169" t="n"/>
      <c r="I168" s="169" t="n"/>
      <c r="J168" s="169" t="n"/>
      <c r="K168" s="256" t="inlineStr">
        <is>
          <t>Entity-level tax is fully deductible on federal</t>
        </is>
      </c>
    </row>
    <row r="169" ht="21.75" customHeight="1" s="104">
      <c r="B169" s="277" t="inlineStr">
        <is>
          <t>Election</t>
        </is>
      </c>
      <c r="C169" s="248" t="inlineStr">
        <is>
          <t>Annual election — most states require election by due date</t>
        </is>
      </c>
      <c r="D169" s="169" t="n"/>
      <c r="E169" s="169" t="n"/>
      <c r="F169" s="169" t="n"/>
      <c r="G169" s="169" t="n"/>
      <c r="H169" s="169" t="n"/>
      <c r="I169" s="169" t="n"/>
      <c r="J169" s="169" t="n"/>
      <c r="K169" s="256" t="inlineStr">
        <is>
          <t>Some states: irrevocable once made</t>
        </is>
      </c>
    </row>
    <row r="170" ht="21.75" customHeight="1" s="104">
      <c r="B170" s="277" t="inlineStr">
        <is>
          <t>Federal treatment</t>
        </is>
      </c>
      <c r="C170" s="248" t="inlineStr">
        <is>
          <t>Partnership deducts PTE tax on P1 → reduces OBI</t>
        </is>
      </c>
      <c r="D170" s="169" t="n"/>
      <c r="E170" s="169" t="n"/>
      <c r="F170" s="169" t="n"/>
      <c r="G170" s="169" t="n"/>
      <c r="H170" s="169" t="n"/>
      <c r="I170" s="169" t="n"/>
      <c r="J170" s="169" t="n"/>
      <c r="K170" s="256" t="inlineStr">
        <is>
          <t>Partners get credit on state return</t>
        </is>
      </c>
    </row>
    <row r="171"/>
    <row r="172" ht="21.75" customHeight="1" s="104">
      <c r="A172" s="297" t="inlineStr">
        <is>
          <t>1065 ADJUSTMENTS</t>
        </is>
      </c>
      <c r="B172" s="169" t="n"/>
      <c r="C172" s="169" t="n"/>
      <c r="D172" s="169" t="n"/>
      <c r="E172" s="169" t="n"/>
      <c r="F172" s="169" t="n"/>
      <c r="G172" s="169" t="n"/>
      <c r="H172" s="169" t="n"/>
      <c r="I172" s="169" t="n"/>
      <c r="J172" s="169" t="n"/>
      <c r="K172" s="170" t="n"/>
    </row>
    <row r="173" ht="15" customHeight="1" s="104">
      <c r="A173" s="287" t="inlineStr">
        <is>
          <t>#</t>
        </is>
      </c>
      <c r="B173" s="288" t="inlineStr">
        <is>
          <t>1065 Line</t>
        </is>
      </c>
      <c r="C173" s="288" t="inlineStr">
        <is>
          <t>Description</t>
        </is>
      </c>
      <c r="D173" s="288" t="inlineStr">
        <is>
          <t>Book Amt</t>
        </is>
      </c>
      <c r="E173" s="288" t="inlineStr">
        <is>
          <t>Tax Adj</t>
        </is>
      </c>
      <c r="F173" s="288" t="inlineStr">
        <is>
          <t>Tax Amt</t>
        </is>
      </c>
      <c r="G173" s="288" t="inlineStr">
        <is>
          <t>M-1 Line</t>
        </is>
      </c>
      <c r="H173" s="288" t="inlineStr">
        <is>
          <t>K Line</t>
        </is>
      </c>
      <c r="I173" s="288" t="inlineStr">
        <is>
          <t>WTB Row</t>
        </is>
      </c>
      <c r="J173" s="288" t="inlineStr">
        <is>
          <t>AJE Ref</t>
        </is>
      </c>
      <c r="K173" s="288" t="inlineStr">
        <is>
          <t>How to Handle</t>
        </is>
      </c>
    </row>
    <row r="174" ht="55.5" customHeight="1" s="104">
      <c r="A174" s="291" t="inlineStr">
        <is>
          <t>1</t>
        </is>
      </c>
      <c r="B174" s="248" t="inlineStr">
        <is>
          <t>P1 L14
(Taxes)</t>
        </is>
      </c>
      <c r="C174" s="277" t="inlineStr">
        <is>
          <t>PTE tax paid at entity level (state income tax)</t>
        </is>
      </c>
      <c r="D174" s="296" t="inlineStr">
        <is>
          <t>If on books</t>
        </is>
      </c>
      <c r="E174" s="179" t="n"/>
      <c r="F174" s="281" t="inlineStr">
        <is>
          <t>Auto</t>
        </is>
      </c>
      <c r="G174" s="256" t="inlineStr">
        <is>
          <t>M-1 L4c
(if treating as
nondeductible)</t>
        </is>
      </c>
      <c r="H174" s="256" t="inlineStr">
        <is>
          <t>May reduce
OBI (K L1)</t>
        </is>
      </c>
      <c r="I174" s="256" t="inlineStr">
        <is>
          <t>Row 42</t>
        </is>
      </c>
      <c r="J174" s="256" t="inlineStr">
        <is>
          <t>New</t>
        </is>
      </c>
      <c r="K174" s="248" t="inlineStr">
        <is>
          <t>FEDERAL TREATMENT VARIES BY STATE. Most common: entity deducts PTE tax as state taxes paid → reduces OBI on P1 L14. Some states: IRS treats entity-level tax as deductible under §164. If state doesn't conform: may need M-1 adjustment. Partners receive state credit on their individual state returns.</t>
        </is>
      </c>
    </row>
    <row r="175" ht="55.5" customHeight="1" s="104">
      <c r="A175" s="291" t="inlineStr">
        <is>
          <t>2</t>
        </is>
      </c>
      <c r="B175" s="248" t="inlineStr">
        <is>
          <t>K-1
(State info)</t>
        </is>
      </c>
      <c r="C175" s="277" t="inlineStr">
        <is>
          <t>State PTE credit passed to partners</t>
        </is>
      </c>
      <c r="D175" s="193" t="n"/>
      <c r="E175" s="179" t="n"/>
      <c r="F175" s="201" t="n"/>
      <c r="G175" s="198" t="n"/>
      <c r="H175" s="256" t="inlineStr">
        <is>
          <t>K-1 state
specific box</t>
        </is>
      </c>
      <c r="I175" s="174" t="n"/>
      <c r="J175" s="174" t="n"/>
      <c r="K175" s="248" t="inlineStr">
        <is>
          <t>Each partner gets their allocable share of the PTE credit on their K-1. Partner claims credit on their state return. Effectively converts a nondeductible SALT payment (capped at $10K) into a fully deductible entity-level tax expense.</t>
        </is>
      </c>
    </row>
    <row r="176" ht="55.5" customHeight="1" s="104">
      <c r="A176" s="291" t="inlineStr">
        <is>
          <t>3</t>
        </is>
      </c>
      <c r="B176" s="248" t="inlineStr">
        <is>
          <t>Schedule L</t>
        </is>
      </c>
      <c r="C176" s="277" t="inlineStr">
        <is>
          <t>PTE tax liability / payment</t>
        </is>
      </c>
      <c r="D176" s="193" t="n"/>
      <c r="E176" s="179" t="n"/>
      <c r="F176" s="201" t="n"/>
      <c r="G176" s="198" t="n"/>
      <c r="H176" s="198" t="n"/>
      <c r="I176" s="256" t="inlineStr">
        <is>
          <t>Row 15</t>
        </is>
      </c>
      <c r="J176" s="174" t="n"/>
      <c r="K176" s="248" t="inlineStr">
        <is>
          <t>If accrual basis: PTE tax accrued = liability on L. Cash basis: payment reduces cash. Estimated payments may show as prepaid asset.</t>
        </is>
      </c>
    </row>
    <row r="177"/>
    <row r="178" ht="21.75" customHeight="1" s="104">
      <c r="A178" s="297" t="inlineStr">
        <is>
          <t>DOCUMENTATION CHECKLIST</t>
        </is>
      </c>
      <c r="B178" s="169" t="n"/>
      <c r="C178" s="169" t="n"/>
      <c r="D178" s="169" t="n"/>
      <c r="E178" s="169" t="n"/>
      <c r="F178" s="169" t="n"/>
      <c r="G178" s="169" t="n"/>
      <c r="H178" s="169" t="n"/>
      <c r="I178" s="169" t="n"/>
      <c r="J178" s="169" t="n"/>
      <c r="K178" s="170" t="n"/>
    </row>
    <row r="179" ht="15" customHeight="1" s="104">
      <c r="A179" s="291" t="inlineStr">
        <is>
          <t>☐</t>
        </is>
      </c>
      <c r="B179" s="248" t="inlineStr">
        <is>
          <t>PTE election form filed with state (copy)</t>
        </is>
      </c>
      <c r="C179" s="169" t="n"/>
      <c r="D179" s="169" t="n"/>
      <c r="E179" s="169" t="n"/>
      <c r="F179" s="169" t="n"/>
      <c r="G179" s="169" t="n"/>
      <c r="H179" s="169" t="n"/>
      <c r="I179" s="170" t="n"/>
      <c r="J179" s="256" t="inlineStr">
        <is>
          <t>Entity file</t>
        </is>
      </c>
      <c r="K179" s="112" t="n"/>
    </row>
    <row r="180" ht="15" customHeight="1" s="104">
      <c r="A180" s="291" t="inlineStr">
        <is>
          <t>☐</t>
        </is>
      </c>
      <c r="B180" s="248" t="inlineStr">
        <is>
          <t>State PTE tax calculation workpaper</t>
        </is>
      </c>
      <c r="C180" s="169" t="n"/>
      <c r="D180" s="169" t="n"/>
      <c r="E180" s="169" t="n"/>
      <c r="F180" s="169" t="n"/>
      <c r="G180" s="169" t="n"/>
      <c r="H180" s="169" t="n"/>
      <c r="I180" s="170" t="n"/>
      <c r="J180" s="256" t="inlineStr">
        <is>
          <t>Entity file</t>
        </is>
      </c>
      <c r="K180" s="112" t="n"/>
    </row>
    <row r="181" ht="15" customHeight="1" s="104">
      <c r="A181" s="291" t="inlineStr">
        <is>
          <t>☐</t>
        </is>
      </c>
      <c r="B181" s="248" t="inlineStr">
        <is>
          <t>Estimated PTE tax payment receipts (quarterly if applicable)</t>
        </is>
      </c>
      <c r="C181" s="169" t="n"/>
      <c r="D181" s="169" t="n"/>
      <c r="E181" s="169" t="n"/>
      <c r="F181" s="169" t="n"/>
      <c r="G181" s="169" t="n"/>
      <c r="H181" s="169" t="n"/>
      <c r="I181" s="170" t="n"/>
      <c r="J181" s="256" t="inlineStr">
        <is>
          <t>Entity file</t>
        </is>
      </c>
      <c r="K181" s="112" t="n"/>
    </row>
    <row r="182" ht="15" customHeight="1" s="104">
      <c r="A182" s="291" t="inlineStr">
        <is>
          <t>☐</t>
        </is>
      </c>
      <c r="B182" s="248" t="inlineStr">
        <is>
          <t>State K-1 or credit allocation schedule per partner</t>
        </is>
      </c>
      <c r="C182" s="169" t="n"/>
      <c r="D182" s="169" t="n"/>
      <c r="E182" s="169" t="n"/>
      <c r="F182" s="169" t="n"/>
      <c r="G182" s="169" t="n"/>
      <c r="H182" s="169" t="n"/>
      <c r="I182" s="170" t="n"/>
      <c r="J182" s="256" t="inlineStr">
        <is>
          <t>Entity file</t>
        </is>
      </c>
      <c r="K182" s="112" t="n"/>
    </row>
    <row r="183" ht="15" customHeight="1" s="104">
      <c r="A183" s="291" t="inlineStr">
        <is>
          <t>☐</t>
        </is>
      </c>
      <c r="B183" s="248" t="inlineStr">
        <is>
          <t>IRS Notice 2020-75 analysis (federal deductibility confirmation)</t>
        </is>
      </c>
      <c r="C183" s="169" t="n"/>
      <c r="D183" s="169" t="n"/>
      <c r="E183" s="169" t="n"/>
      <c r="F183" s="169" t="n"/>
      <c r="G183" s="169" t="n"/>
      <c r="H183" s="169" t="n"/>
      <c r="I183" s="170" t="n"/>
      <c r="J183" s="256" t="inlineStr">
        <is>
          <t>Entity file</t>
        </is>
      </c>
      <c r="K183" s="112" t="n"/>
    </row>
    <row r="184" ht="15" customHeight="1" s="104">
      <c r="A184" s="291" t="inlineStr">
        <is>
          <t>☐</t>
        </is>
      </c>
      <c r="B184" s="248" t="inlineStr">
        <is>
          <t>State-specific PTE rules reference (see PTE by State tab)</t>
        </is>
      </c>
      <c r="C184" s="169" t="n"/>
      <c r="D184" s="169" t="n"/>
      <c r="E184" s="169" t="n"/>
      <c r="F184" s="169" t="n"/>
      <c r="G184" s="169" t="n"/>
      <c r="H184" s="169" t="n"/>
      <c r="I184" s="170" t="n"/>
      <c r="J184" s="256" t="inlineStr">
        <is>
          <t>Entity file</t>
        </is>
      </c>
      <c r="K184" s="112" t="n"/>
    </row>
    <row r="185"/>
    <row r="186" ht="25.5" customHeight="1" s="104">
      <c r="A186" s="303" t="inlineStr">
        <is>
          <t>8. TA FEE — TAX ALCHEMY / TAX ADVISORY FEE</t>
        </is>
      </c>
    </row>
    <row r="187"/>
    <row r="188" ht="21.75" customHeight="1" s="104">
      <c r="A188" s="304" t="inlineStr">
        <is>
          <t>FIRM PARAMETERS</t>
        </is>
      </c>
      <c r="B188" s="169" t="n"/>
      <c r="C188" s="169" t="n"/>
      <c r="D188" s="169" t="n"/>
      <c r="E188" s="169" t="n"/>
      <c r="F188" s="169" t="n"/>
      <c r="G188" s="169" t="n"/>
      <c r="H188" s="169" t="n"/>
      <c r="I188" s="169" t="n"/>
      <c r="J188" s="169" t="n"/>
      <c r="K188" s="170" t="n"/>
    </row>
    <row r="189" ht="15" customHeight="1" s="104">
      <c r="A189" s="167" t="n"/>
      <c r="B189" s="288" t="inlineStr">
        <is>
          <t>Criteria</t>
        </is>
      </c>
      <c r="C189" s="288" t="inlineStr">
        <is>
          <t>Amount</t>
        </is>
      </c>
      <c r="D189" s="167" t="n"/>
      <c r="E189" s="167" t="n"/>
      <c r="F189" s="167" t="n"/>
      <c r="G189" s="167" t="n"/>
      <c r="H189" s="167" t="n"/>
      <c r="I189" s="167" t="n"/>
      <c r="J189" s="167" t="n"/>
      <c r="K189" s="288" t="inlineStr">
        <is>
          <t>Notes</t>
        </is>
      </c>
    </row>
    <row r="190" ht="21.75" customHeight="1" s="104">
      <c r="B190" s="277" t="inlineStr">
        <is>
          <t>TAP Client</t>
        </is>
      </c>
      <c r="C190" s="248" t="inlineStr">
        <is>
          <t>$50K / $32K / $20K (see Sales Automator)</t>
        </is>
      </c>
      <c r="D190" s="169" t="n"/>
      <c r="E190" s="169" t="n"/>
      <c r="F190" s="169" t="n"/>
      <c r="G190" s="169" t="n"/>
      <c r="H190" s="169" t="n"/>
      <c r="I190" s="169" t="n"/>
      <c r="J190" s="169" t="n"/>
      <c r="K190" s="256" t="inlineStr">
        <is>
          <t>Check payments under member's name</t>
        </is>
      </c>
    </row>
    <row r="191" ht="21.75" customHeight="1" s="104">
      <c r="B191" s="277" t="inlineStr">
        <is>
          <t>Monthly renewal</t>
        </is>
      </c>
      <c r="C191" s="248" t="inlineStr">
        <is>
          <t>$1,500/month</t>
        </is>
      </c>
      <c r="D191" s="169" t="n"/>
      <c r="E191" s="169" t="n"/>
      <c r="F191" s="169" t="n"/>
      <c r="G191" s="169" t="n"/>
      <c r="H191" s="169" t="n"/>
      <c r="I191" s="169" t="n"/>
      <c r="J191" s="169" t="n"/>
      <c r="K191" s="256" t="inlineStr">
        <is>
          <t>Ongoing advisory fee</t>
        </is>
      </c>
    </row>
    <row r="192" ht="21.75" customHeight="1" s="104">
      <c r="B192" s="277" t="inlineStr">
        <is>
          <t>Deductibility</t>
        </is>
      </c>
      <c r="C192" s="248" t="inlineStr">
        <is>
          <t>Ordinary and necessary business expense under §162</t>
        </is>
      </c>
      <c r="D192" s="169" t="n"/>
      <c r="E192" s="169" t="n"/>
      <c r="F192" s="169" t="n"/>
      <c r="G192" s="169" t="n"/>
      <c r="H192" s="169" t="n"/>
      <c r="I192" s="169" t="n"/>
      <c r="J192" s="169" t="n"/>
      <c r="K192" s="256" t="inlineStr">
        <is>
          <t>Deducted on P1 L20 (Other Deductions)</t>
        </is>
      </c>
    </row>
    <row r="193" ht="21.75" customHeight="1" s="104">
      <c r="B193" s="277" t="inlineStr">
        <is>
          <t>Reporting</t>
        </is>
      </c>
      <c r="C193" s="248" t="inlineStr">
        <is>
          <t>Entity pays → entity deducts</t>
        </is>
      </c>
      <c r="D193" s="169" t="n"/>
      <c r="E193" s="169" t="n"/>
      <c r="F193" s="169" t="n"/>
      <c r="G193" s="169" t="n"/>
      <c r="H193" s="169" t="n"/>
      <c r="I193" s="169" t="n"/>
      <c r="J193" s="169" t="n"/>
      <c r="K193" s="256" t="inlineStr">
        <is>
          <t>Must be paid by the entity (not personally)</t>
        </is>
      </c>
    </row>
    <row r="194"/>
    <row r="195" ht="21.75" customHeight="1" s="104">
      <c r="A195" s="297" t="inlineStr">
        <is>
          <t>1065 ADJUSTMENTS</t>
        </is>
      </c>
      <c r="B195" s="169" t="n"/>
      <c r="C195" s="169" t="n"/>
      <c r="D195" s="169" t="n"/>
      <c r="E195" s="169" t="n"/>
      <c r="F195" s="169" t="n"/>
      <c r="G195" s="169" t="n"/>
      <c r="H195" s="169" t="n"/>
      <c r="I195" s="169" t="n"/>
      <c r="J195" s="169" t="n"/>
      <c r="K195" s="170" t="n"/>
    </row>
    <row r="196" ht="15" customHeight="1" s="104">
      <c r="A196" s="287" t="inlineStr">
        <is>
          <t>#</t>
        </is>
      </c>
      <c r="B196" s="288" t="inlineStr">
        <is>
          <t>1065 Line</t>
        </is>
      </c>
      <c r="C196" s="288" t="inlineStr">
        <is>
          <t>Description</t>
        </is>
      </c>
      <c r="D196" s="288" t="inlineStr">
        <is>
          <t>Book Amt</t>
        </is>
      </c>
      <c r="E196" s="288" t="inlineStr">
        <is>
          <t>Tax Adj</t>
        </is>
      </c>
      <c r="F196" s="288" t="inlineStr">
        <is>
          <t>Tax Amt</t>
        </is>
      </c>
      <c r="G196" s="288" t="inlineStr">
        <is>
          <t>M-1 Line</t>
        </is>
      </c>
      <c r="H196" s="288" t="inlineStr">
        <is>
          <t>K Line</t>
        </is>
      </c>
      <c r="I196" s="288" t="inlineStr">
        <is>
          <t>WTB Row</t>
        </is>
      </c>
      <c r="J196" s="288" t="inlineStr">
        <is>
          <t>AJE Ref</t>
        </is>
      </c>
      <c r="K196" s="288" t="inlineStr">
        <is>
          <t>How to Handle</t>
        </is>
      </c>
    </row>
    <row r="197" ht="55.5" customHeight="1" s="104">
      <c r="A197" s="291" t="inlineStr">
        <is>
          <t>1</t>
        </is>
      </c>
      <c r="B197" s="248" t="inlineStr">
        <is>
          <t>P1 L20
(Other Ded)</t>
        </is>
      </c>
      <c r="C197" s="277" t="inlineStr">
        <is>
          <t>Tax advisory / Tax Alchemy fee</t>
        </is>
      </c>
      <c r="D197" s="296" t="inlineStr">
        <is>
          <t>If on books</t>
        </is>
      </c>
      <c r="E197" s="296" t="inlineStr">
        <is>
          <t>If not on
books</t>
        </is>
      </c>
      <c r="F197" s="281" t="inlineStr">
        <is>
          <t>Auto</t>
        </is>
      </c>
      <c r="G197" s="256" t="inlineStr">
        <is>
          <t>None if on books.
M-1 L7 if tax-only.</t>
        </is>
      </c>
      <c r="H197" s="256" t="inlineStr">
        <is>
          <t>Reduces OBI
(K L1)</t>
        </is>
      </c>
      <c r="I197" s="256" t="inlineStr">
        <is>
          <t>Row 50</t>
        </is>
      </c>
      <c r="J197" s="256" t="inlineStr">
        <is>
          <t>New</t>
        </is>
      </c>
      <c r="K197" s="248" t="inlineStr">
        <is>
          <t>Ordinary and necessary business expense under §162. If paid by entity and on client books → flows through P1 L20 naturally. If not on books (tax-only) → WTB Row 50 Adj(+), M-1 Line 7. Reduces each partner's K-1 Box 1 OBI and SE income.</t>
        </is>
      </c>
    </row>
    <row r="198" ht="55.5" customHeight="1" s="104">
      <c r="A198" s="291" t="inlineStr">
        <is>
          <t>2</t>
        </is>
      </c>
      <c r="B198" s="248" t="inlineStr">
        <is>
          <t>If personal</t>
        </is>
      </c>
      <c r="C198" s="277" t="inlineStr">
        <is>
          <t>NOT deductible if paid by individual (post-TCJA)</t>
        </is>
      </c>
      <c r="D198" s="193" t="n"/>
      <c r="E198" s="179" t="n"/>
      <c r="F198" s="201" t="n"/>
      <c r="G198" s="198" t="n"/>
      <c r="H198" s="198" t="n"/>
      <c r="I198" s="174" t="n"/>
      <c r="J198" s="174" t="n"/>
      <c r="K198" s="248" t="inlineStr">
        <is>
          <t>WARNING: If the member pays the TA fee personally (not through the entity), it is NOT deductible post-TCJA. Tax advisory fees for individuals were suspended as misc itemized deductions under TCJA (2018-2025). MUST be paid by the entity to get the deduction.</t>
        </is>
      </c>
    </row>
    <row r="199"/>
    <row r="200" ht="21.75" customHeight="1" s="104">
      <c r="A200" s="297" t="inlineStr">
        <is>
          <t>DOCUMENTATION CHECKLIST</t>
        </is>
      </c>
      <c r="B200" s="169" t="n"/>
      <c r="C200" s="169" t="n"/>
      <c r="D200" s="169" t="n"/>
      <c r="E200" s="169" t="n"/>
      <c r="F200" s="169" t="n"/>
      <c r="G200" s="169" t="n"/>
      <c r="H200" s="169" t="n"/>
      <c r="I200" s="169" t="n"/>
      <c r="J200" s="169" t="n"/>
      <c r="K200" s="170" t="n"/>
    </row>
    <row r="201" ht="15" customHeight="1" s="104">
      <c r="A201" s="291" t="inlineStr">
        <is>
          <t>☐</t>
        </is>
      </c>
      <c r="B201" s="248" t="inlineStr">
        <is>
          <t>Tax advisory engagement letter / contract</t>
        </is>
      </c>
      <c r="C201" s="169" t="n"/>
      <c r="D201" s="169" t="n"/>
      <c r="E201" s="169" t="n"/>
      <c r="F201" s="169" t="n"/>
      <c r="G201" s="169" t="n"/>
      <c r="H201" s="169" t="n"/>
      <c r="I201" s="170" t="n"/>
      <c r="J201" s="256" t="inlineStr">
        <is>
          <t>Entity file</t>
        </is>
      </c>
      <c r="K201" s="112" t="n"/>
    </row>
    <row r="202" ht="15" customHeight="1" s="104">
      <c r="A202" s="291" t="inlineStr">
        <is>
          <t>☐</t>
        </is>
      </c>
      <c r="B202" s="248" t="inlineStr">
        <is>
          <t>Invoice from Tax Alchemy / advisory firm</t>
        </is>
      </c>
      <c r="C202" s="169" t="n"/>
      <c r="D202" s="169" t="n"/>
      <c r="E202" s="169" t="n"/>
      <c r="F202" s="169" t="n"/>
      <c r="G202" s="169" t="n"/>
      <c r="H202" s="169" t="n"/>
      <c r="I202" s="170" t="n"/>
      <c r="J202" s="256" t="inlineStr">
        <is>
          <t>Entity file</t>
        </is>
      </c>
      <c r="K202" s="112" t="n"/>
    </row>
    <row r="203" ht="15" customHeight="1" s="104">
      <c r="A203" s="291" t="inlineStr">
        <is>
          <t>☐</t>
        </is>
      </c>
      <c r="B203" s="248" t="inlineStr">
        <is>
          <t>Proof of payment from entity account (not personal)</t>
        </is>
      </c>
      <c r="C203" s="169" t="n"/>
      <c r="D203" s="169" t="n"/>
      <c r="E203" s="169" t="n"/>
      <c r="F203" s="169" t="n"/>
      <c r="G203" s="169" t="n"/>
      <c r="H203" s="169" t="n"/>
      <c r="I203" s="170" t="n"/>
      <c r="J203" s="256" t="inlineStr">
        <is>
          <t>Entity file</t>
        </is>
      </c>
      <c r="K203" s="112" t="n"/>
    </row>
    <row r="204" ht="15" customHeight="1" s="104">
      <c r="A204" s="291" t="inlineStr">
        <is>
          <t>☐</t>
        </is>
      </c>
      <c r="B204" s="248" t="inlineStr">
        <is>
          <t>Description of services provided (for §162 substantiation)</t>
        </is>
      </c>
      <c r="C204" s="169" t="n"/>
      <c r="D204" s="169" t="n"/>
      <c r="E204" s="169" t="n"/>
      <c r="F204" s="169" t="n"/>
      <c r="G204" s="169" t="n"/>
      <c r="H204" s="169" t="n"/>
      <c r="I204" s="170" t="n"/>
      <c r="J204" s="256" t="inlineStr">
        <is>
          <t>Entity file</t>
        </is>
      </c>
      <c r="K204" s="112" t="n"/>
    </row>
    <row r="205"/>
    <row r="206"/>
    <row r="207" ht="25.5" customHeight="1" s="104">
      <c r="A207" s="303" t="inlineStr">
        <is>
          <t>QUICK REFERENCE — 1065 STRATEGY IMPACT SUMMARY</t>
        </is>
      </c>
    </row>
    <row r="208"/>
    <row r="209" ht="15" customHeight="1" s="104">
      <c r="A209" s="287" t="inlineStr">
        <is>
          <t>#</t>
        </is>
      </c>
      <c r="B209" s="288" t="inlineStr">
        <is>
          <t>Strategy</t>
        </is>
      </c>
      <c r="C209" s="288" t="inlineStr">
        <is>
          <t>1065 Line</t>
        </is>
      </c>
      <c r="D209" s="288" t="inlineStr">
        <is>
          <t>WTB Row</t>
        </is>
      </c>
      <c r="E209" s="288" t="inlineStr">
        <is>
          <t>M-1 Line</t>
        </is>
      </c>
      <c r="F209" s="288" t="inlineStr">
        <is>
          <t>K Line</t>
        </is>
      </c>
      <c r="G209" s="288" t="inlineStr">
        <is>
          <t>Firm Min/$</t>
        </is>
      </c>
      <c r="H209" s="288" t="inlineStr">
        <is>
          <t>Key Trigger</t>
        </is>
      </c>
      <c r="I209" s="288" t="inlineStr">
        <is>
          <t>Perm/Temp</t>
        </is>
      </c>
      <c r="J209" s="288" t="inlineStr">
        <is>
          <t>AJE?</t>
        </is>
      </c>
      <c r="K209" s="288" t="inlineStr">
        <is>
          <t>Critical Requirement</t>
        </is>
      </c>
    </row>
    <row r="210" ht="48" customHeight="1" s="104">
      <c r="A210" s="291" t="inlineStr">
        <is>
          <t>1</t>
        </is>
      </c>
      <c r="B210" s="277" t="inlineStr">
        <is>
          <t>Augusta Rule
(§280A(g))</t>
        </is>
      </c>
      <c r="C210" s="248" t="inlineStr">
        <is>
          <t>P1 L20</t>
        </is>
      </c>
      <c r="D210" s="256" t="inlineStr">
        <is>
          <t>Row 50</t>
        </is>
      </c>
      <c r="E210" s="256" t="inlineStr">
        <is>
          <t>L7 if
tax-only</t>
        </is>
      </c>
      <c r="F210" s="256" t="inlineStr">
        <is>
          <t>Reduces
K L1</t>
        </is>
      </c>
      <c r="G210" s="305" t="inlineStr">
        <is>
          <t>&gt;$1M: $28K
&lt;$1M: $14K</t>
        </is>
      </c>
      <c r="H210" s="248" t="inlineStr">
        <is>
          <t>Owns home,
≤14 days</t>
        </is>
      </c>
      <c r="I210" s="248" t="inlineStr">
        <is>
          <t>Perm</t>
        </is>
      </c>
      <c r="J210" s="256" t="inlineStr">
        <is>
          <t>New</t>
        </is>
      </c>
      <c r="K210" s="248" t="inlineStr">
        <is>
          <t>Must OWN primary.
Not for sole prop/SMLLC.</t>
        </is>
      </c>
    </row>
    <row r="211" ht="48" customHeight="1" s="104">
      <c r="A211" s="291" t="inlineStr">
        <is>
          <t>2</t>
        </is>
      </c>
      <c r="B211" s="277" t="inlineStr">
        <is>
          <t>Kids on PR /
Mgmt Co</t>
        </is>
      </c>
      <c r="C211" s="248" t="inlineStr">
        <is>
          <t>P1 L9</t>
        </is>
      </c>
      <c r="D211" s="256" t="inlineStr">
        <is>
          <t>Row 37</t>
        </is>
      </c>
      <c r="E211" s="256" t="inlineStr">
        <is>
          <t>L7 if
tax-only</t>
        </is>
      </c>
      <c r="F211" s="256" t="inlineStr">
        <is>
          <t>Reduces
K L1</t>
        </is>
      </c>
      <c r="G211" s="305" t="inlineStr">
        <is>
          <t>$16,100
per child</t>
        </is>
      </c>
      <c r="H211" s="248" t="inlineStr">
        <is>
          <t>Both parents
= partners</t>
        </is>
      </c>
      <c r="I211" s="248" t="inlineStr">
        <is>
          <t>Perm</t>
        </is>
      </c>
      <c r="J211" s="256" t="inlineStr">
        <is>
          <t>New</t>
        </is>
      </c>
      <c r="K211" s="248" t="inlineStr">
        <is>
          <t>Both-parent partnership
for FICA exemption.</t>
        </is>
      </c>
    </row>
    <row r="212" ht="48" customHeight="1" s="104">
      <c r="A212" s="291" t="inlineStr">
        <is>
          <t>3</t>
        </is>
      </c>
      <c r="B212" s="277" t="inlineStr">
        <is>
          <t>Home Office /
ARP / BUH</t>
        </is>
      </c>
      <c r="C212" s="248" t="inlineStr">
        <is>
          <t>P1 L20
(ARP only)</t>
        </is>
      </c>
      <c r="D212" s="256" t="inlineStr">
        <is>
          <t>Row 50
(ARP only)</t>
        </is>
      </c>
      <c r="E212" s="256" t="inlineStr">
        <is>
          <t>L7 if
tax-only</t>
        </is>
      </c>
      <c r="F212" s="256" t="inlineStr">
        <is>
          <t>Reduces
K L1</t>
        </is>
      </c>
      <c r="G212" s="305" t="inlineStr">
        <is>
          <t>$6,000
minimum</t>
        </is>
      </c>
      <c r="H212" s="248" t="inlineStr">
        <is>
          <t>ARP or UPE
path chosen</t>
        </is>
      </c>
      <c r="I212" s="248" t="inlineStr">
        <is>
          <t>Perm</t>
        </is>
      </c>
      <c r="J212" s="256" t="inlineStr">
        <is>
          <t>New</t>
        </is>
      </c>
      <c r="K212" s="248" t="inlineStr">
        <is>
          <t>ARP = entity deduction.
UPE = individual only.</t>
        </is>
      </c>
    </row>
    <row r="213" ht="48" customHeight="1" s="104">
      <c r="A213" s="291" t="inlineStr">
        <is>
          <t>4</t>
        </is>
      </c>
      <c r="B213" s="277" t="inlineStr">
        <is>
          <t>§179 / 168(k)
Bonus Depr</t>
        </is>
      </c>
      <c r="C213" s="248" t="inlineStr">
        <is>
          <t>P1 L16a
K L12</t>
        </is>
      </c>
      <c r="D213" s="256" t="inlineStr">
        <is>
          <t>Row 44
Row 84</t>
        </is>
      </c>
      <c r="E213" s="256" t="inlineStr">
        <is>
          <t>L4a / L7</t>
        </is>
      </c>
      <c r="F213" s="256" t="inlineStr">
        <is>
          <t>K L1
K L12</t>
        </is>
      </c>
      <c r="G213" s="305" t="inlineStr">
        <is>
          <t>100% if by
1/20/25</t>
        </is>
      </c>
      <c r="H213" s="248" t="inlineStr">
        <is>
          <t>Asset placed
in service</t>
        </is>
      </c>
      <c r="I213" s="248" t="inlineStr">
        <is>
          <t>Temp</t>
        </is>
      </c>
      <c r="J213" s="256" t="inlineStr">
        <is>
          <t>AJE-01
AJE-02</t>
        </is>
      </c>
      <c r="K213" s="248" t="inlineStr">
        <is>
          <t>Tax depr schedule.
§179 income limit.</t>
        </is>
      </c>
    </row>
    <row r="214" ht="48" customHeight="1" s="104">
      <c r="A214" s="291" t="inlineStr">
        <is>
          <t>5</t>
        </is>
      </c>
      <c r="B214" s="277" t="inlineStr">
        <is>
          <t>Cost Seg /
STR / LTR</t>
        </is>
      </c>
      <c r="C214" s="248" t="inlineStr">
        <is>
          <t>K L2 / K L3c
(Form 8825)</t>
        </is>
      </c>
      <c r="D214" s="256" t="inlineStr">
        <is>
          <t>Row 71
Row 72</t>
        </is>
      </c>
      <c r="E214" s="256" t="inlineStr">
        <is>
          <t>L7 (depr
diff)</t>
        </is>
      </c>
      <c r="F214" s="256" t="inlineStr">
        <is>
          <t>K L2
K L3c</t>
        </is>
      </c>
      <c r="G214" s="305" t="inlineStr">
        <is>
          <t>See firm
estimates</t>
        </is>
      </c>
      <c r="H214" s="248" t="inlineStr">
        <is>
          <t>Cost seg
study done</t>
        </is>
      </c>
      <c r="I214" s="248" t="inlineStr">
        <is>
          <t>Temp</t>
        </is>
      </c>
      <c r="J214" s="256" t="inlineStr">
        <is>
          <t>AJE-05</t>
        </is>
      </c>
      <c r="K214" s="248" t="inlineStr">
        <is>
          <t>STR &lt;7 day avg.
Mat participation for
nonpassive loss.</t>
        </is>
      </c>
    </row>
    <row r="215" ht="48" customHeight="1" s="104">
      <c r="A215" s="291" t="inlineStr">
        <is>
          <t>6</t>
        </is>
      </c>
      <c r="B215" s="277" t="inlineStr">
        <is>
          <t>STR Launch
Expenses</t>
        </is>
      </c>
      <c r="C215" s="248" t="inlineStr">
        <is>
          <t>Form 8825 /
K L2</t>
        </is>
      </c>
      <c r="D215" s="256" t="inlineStr">
        <is>
          <t>Row 71</t>
        </is>
      </c>
      <c r="E215" s="256" t="inlineStr">
        <is>
          <t>L7 if not
on books</t>
        </is>
      </c>
      <c r="F215" s="256" t="inlineStr">
        <is>
          <t>Reduces
K L2</t>
        </is>
      </c>
      <c r="G215" s="305" t="inlineStr">
        <is>
          <t>&gt;$501K: $25K
≤$500K: $15K</t>
        </is>
      </c>
      <c r="H215" s="248" t="inlineStr">
        <is>
          <t>STR property
launched</t>
        </is>
      </c>
      <c r="I215" s="248" t="inlineStr">
        <is>
          <t>Perm/
Temp</t>
        </is>
      </c>
      <c r="J215" s="256" t="inlineStr">
        <is>
          <t>New</t>
        </is>
      </c>
      <c r="K215" s="248" t="inlineStr">
        <is>
          <t>De minimis ≤$2,500.
§195 if not yet active.</t>
        </is>
      </c>
    </row>
    <row r="216" ht="48" customHeight="1" s="104">
      <c r="A216" s="291" t="inlineStr">
        <is>
          <t>7</t>
        </is>
      </c>
      <c r="B216" s="277" t="inlineStr">
        <is>
          <t>PTE Credit
(State SALT)</t>
        </is>
      </c>
      <c r="C216" s="248" t="inlineStr">
        <is>
          <t>P1 L14
(Taxes)</t>
        </is>
      </c>
      <c r="D216" s="256" t="inlineStr">
        <is>
          <t>Row 42</t>
        </is>
      </c>
      <c r="E216" s="256" t="inlineStr">
        <is>
          <t>L4c if not
deductible</t>
        </is>
      </c>
      <c r="F216" s="256" t="inlineStr">
        <is>
          <t>K-1 state
credit</t>
        </is>
      </c>
      <c r="G216" s="305" t="inlineStr">
        <is>
          <t>Customized
by state</t>
        </is>
      </c>
      <c r="H216" s="248" t="inlineStr">
        <is>
          <t>State offers
PTE election</t>
        </is>
      </c>
      <c r="I216" s="248" t="inlineStr">
        <is>
          <t>Perm</t>
        </is>
      </c>
      <c r="J216" s="256" t="inlineStr">
        <is>
          <t>New</t>
        </is>
      </c>
      <c r="K216" s="248" t="inlineStr">
        <is>
          <t>Annual election.
See PTE by State tab.</t>
        </is>
      </c>
    </row>
    <row r="217" ht="48" customHeight="1" s="104">
      <c r="A217" s="291" t="inlineStr">
        <is>
          <t>8</t>
        </is>
      </c>
      <c r="B217" s="277" t="inlineStr">
        <is>
          <t>TA Fee</t>
        </is>
      </c>
      <c r="C217" s="248" t="inlineStr">
        <is>
          <t>P1 L20
(Other Ded)</t>
        </is>
      </c>
      <c r="D217" s="256" t="inlineStr">
        <is>
          <t>Row 50</t>
        </is>
      </c>
      <c r="E217" s="256" t="inlineStr">
        <is>
          <t>L7 if
tax-only</t>
        </is>
      </c>
      <c r="F217" s="256" t="inlineStr">
        <is>
          <t>Reduces
K L1</t>
        </is>
      </c>
      <c r="G217" s="305" t="inlineStr">
        <is>
          <t>$50K/$32K/
$20K / $1.5K/mo</t>
        </is>
      </c>
      <c r="H217" s="248" t="inlineStr">
        <is>
          <t>Entity pays
(not personal)</t>
        </is>
      </c>
      <c r="I217" s="248" t="inlineStr">
        <is>
          <t>Perm</t>
        </is>
      </c>
      <c r="J217" s="256" t="inlineStr">
        <is>
          <t>New</t>
        </is>
      </c>
      <c r="K217" s="248" t="inlineStr">
        <is>
          <t>Must be paid by entity.
Not deductible if personal.</t>
        </is>
      </c>
    </row>
    <row r="218"/>
    <row r="219"/>
    <row r="220" ht="21.75" customHeight="1" s="104">
      <c r="A220" s="306" t="inlineStr">
        <is>
          <t>STRATEGIES NOT ON THIS TAB (Personal / Other Entity)</t>
        </is>
      </c>
      <c r="B220" s="169" t="n"/>
      <c r="C220" s="169" t="n"/>
      <c r="D220" s="169" t="n"/>
      <c r="E220" s="169" t="n"/>
      <c r="F220" s="169" t="n"/>
      <c r="G220" s="169" t="n"/>
      <c r="H220" s="169" t="n"/>
      <c r="I220" s="169" t="n"/>
      <c r="J220" s="169" t="n"/>
      <c r="K220" s="170" t="n"/>
    </row>
    <row r="221" ht="15" customHeight="1" s="104">
      <c r="A221" s="291" t="inlineStr">
        <is>
          <t>—</t>
        </is>
      </c>
      <c r="B221" s="256" t="inlineStr">
        <is>
          <t>S Election / Officer Wages / SEP IRA / Solo 401K / 401K / HSA → S-Corp or individual-level</t>
        </is>
      </c>
      <c r="C221" s="169" t="n"/>
      <c r="D221" s="169" t="n"/>
      <c r="E221" s="169" t="n"/>
      <c r="F221" s="169" t="n"/>
      <c r="G221" s="169" t="n"/>
      <c r="H221" s="169" t="n"/>
      <c r="I221" s="169" t="n"/>
      <c r="J221" s="169" t="n"/>
      <c r="K221" s="170" t="n"/>
    </row>
    <row r="222" ht="15" customHeight="1" s="104">
      <c r="A222" s="291" t="inlineStr">
        <is>
          <t>—</t>
        </is>
      </c>
      <c r="B222" s="256" t="inlineStr">
        <is>
          <t>Film Financing (4x multiplier) → K-1 flows to partner's personal 1040</t>
        </is>
      </c>
      <c r="C222" s="169" t="n"/>
      <c r="D222" s="169" t="n"/>
      <c r="E222" s="169" t="n"/>
      <c r="F222" s="169" t="n"/>
      <c r="G222" s="169" t="n"/>
      <c r="H222" s="169" t="n"/>
      <c r="I222" s="169" t="n"/>
      <c r="J222" s="169" t="n"/>
      <c r="K222" s="170" t="n"/>
    </row>
    <row r="223" ht="15" customHeight="1" s="104">
      <c r="A223" s="291" t="inlineStr">
        <is>
          <t>—</t>
        </is>
      </c>
      <c r="B223" s="256" t="inlineStr">
        <is>
          <t>Gas/Oil (80% of investment) → K-1 flows to partner's personal 1040</t>
        </is>
      </c>
      <c r="C223" s="169" t="n"/>
      <c r="D223" s="169" t="n"/>
      <c r="E223" s="169" t="n"/>
      <c r="F223" s="169" t="n"/>
      <c r="G223" s="169" t="n"/>
      <c r="H223" s="169" t="n"/>
      <c r="I223" s="169" t="n"/>
      <c r="J223" s="169" t="n"/>
      <c r="K223" s="170" t="n"/>
    </row>
    <row r="224" ht="15" customHeight="1" s="104">
      <c r="A224" s="291" t="inlineStr">
        <is>
          <t>—</t>
        </is>
      </c>
      <c r="B224" s="256" t="inlineStr">
        <is>
          <t>Crypto Miners (70% first-year deduction) → Personal / separate entity</t>
        </is>
      </c>
      <c r="C224" s="169" t="n"/>
      <c r="D224" s="169" t="n"/>
      <c r="E224" s="169" t="n"/>
      <c r="F224" s="169" t="n"/>
      <c r="G224" s="169" t="n"/>
      <c r="H224" s="169" t="n"/>
      <c r="I224" s="169" t="n"/>
      <c r="J224" s="169" t="n"/>
      <c r="K224" s="170" t="n"/>
    </row>
    <row r="225" ht="15" customHeight="1" s="104">
      <c r="A225" s="291" t="inlineStr">
        <is>
          <t>—</t>
        </is>
      </c>
      <c r="B225" s="256" t="inlineStr">
        <is>
          <t>PFF / DAF (charitable) → Personal deduction on 1040</t>
        </is>
      </c>
      <c r="C225" s="169" t="n"/>
      <c r="D225" s="169" t="n"/>
      <c r="E225" s="169" t="n"/>
      <c r="F225" s="169" t="n"/>
      <c r="G225" s="169" t="n"/>
      <c r="H225" s="169" t="n"/>
      <c r="I225" s="169" t="n"/>
      <c r="J225" s="169" t="n"/>
      <c r="K225" s="170" t="n"/>
    </row>
    <row r="226" ht="15" customHeight="1" s="104">
      <c r="A226" s="291" t="inlineStr">
        <is>
          <t>—</t>
        </is>
      </c>
      <c r="B226" s="256" t="inlineStr">
        <is>
          <t>OYCC (Off-Year C-Corp) → C-Corp strategy, not 1065</t>
        </is>
      </c>
      <c r="C226" s="169" t="n"/>
      <c r="D226" s="169" t="n"/>
      <c r="E226" s="169" t="n"/>
      <c r="F226" s="169" t="n"/>
      <c r="G226" s="169" t="n"/>
      <c r="H226" s="169" t="n"/>
      <c r="I226" s="169" t="n"/>
      <c r="J226" s="169" t="n"/>
      <c r="K226" s="170" t="n"/>
    </row>
    <row r="227" ht="15" customHeight="1" s="104">
      <c r="A227" s="291" t="inlineStr">
        <is>
          <t>—</t>
        </is>
      </c>
      <c r="B227" s="256" t="inlineStr">
        <is>
          <t>Solar w/ Inception Financial → Credit flows to individual / other entity</t>
        </is>
      </c>
      <c r="C227" s="169" t="n"/>
      <c r="D227" s="169" t="n"/>
      <c r="E227" s="169" t="n"/>
      <c r="F227" s="169" t="n"/>
      <c r="G227" s="169" t="n"/>
      <c r="H227" s="169" t="n"/>
      <c r="I227" s="169" t="n"/>
      <c r="J227" s="169" t="n"/>
      <c r="K227" s="170" t="n"/>
    </row>
    <row r="228" ht="15" customHeight="1" s="104">
      <c r="A228" s="291" t="inlineStr">
        <is>
          <t>—</t>
        </is>
      </c>
      <c r="B228" s="256" t="inlineStr">
        <is>
          <t>Gas Station Fund → Passive investment, K-1 to partner</t>
        </is>
      </c>
      <c r="C228" s="169" t="n"/>
      <c r="D228" s="169" t="n"/>
      <c r="E228" s="169" t="n"/>
      <c r="F228" s="169" t="n"/>
      <c r="G228" s="169" t="n"/>
      <c r="H228" s="169" t="n"/>
      <c r="I228" s="169" t="n"/>
      <c r="J228" s="169" t="n"/>
      <c r="K228" s="170" t="n"/>
    </row>
  </sheetData>
  <mergeCells count="144">
    <mergeCell ref="A58:K58"/>
    <mergeCell ref="B135:I135"/>
    <mergeCell ref="A186:K186"/>
    <mergeCell ref="B54:I54"/>
    <mergeCell ref="B159:I159"/>
    <mergeCell ref="B134:I134"/>
    <mergeCell ref="A178:K178"/>
    <mergeCell ref="A60:K60"/>
    <mergeCell ref="C35:J35"/>
    <mergeCell ref="B56:I56"/>
    <mergeCell ref="B105:I105"/>
    <mergeCell ref="B48:I48"/>
    <mergeCell ref="B161:I161"/>
    <mergeCell ref="A7:K7"/>
    <mergeCell ref="A172:K172"/>
    <mergeCell ref="C168:J168"/>
    <mergeCell ref="B227:K227"/>
    <mergeCell ref="B224:K224"/>
    <mergeCell ref="B181:I181"/>
    <mergeCell ref="C118:J118"/>
    <mergeCell ref="C167:J167"/>
    <mergeCell ref="A149:K149"/>
    <mergeCell ref="B82:I82"/>
    <mergeCell ref="C114:J114"/>
    <mergeCell ref="A163:K163"/>
    <mergeCell ref="C11:J11"/>
    <mergeCell ref="A195:K195"/>
    <mergeCell ref="A2:K2"/>
    <mergeCell ref="B137:I137"/>
    <mergeCell ref="C169:J169"/>
    <mergeCell ref="B228:K228"/>
    <mergeCell ref="A188:K188"/>
    <mergeCell ref="C144:J144"/>
    <mergeCell ref="B225:K225"/>
    <mergeCell ref="B201:I201"/>
    <mergeCell ref="B83:I83"/>
    <mergeCell ref="C38:J38"/>
    <mergeCell ref="A19:K19"/>
    <mergeCell ref="B76:I76"/>
    <mergeCell ref="C170:J170"/>
    <mergeCell ref="B203:I203"/>
    <mergeCell ref="C145:J145"/>
    <mergeCell ref="A30:K30"/>
    <mergeCell ref="B47:I47"/>
    <mergeCell ref="B68:K68"/>
    <mergeCell ref="A142:K142"/>
    <mergeCell ref="B22:I22"/>
    <mergeCell ref="C116:J116"/>
    <mergeCell ref="B202:I202"/>
    <mergeCell ref="A88:K88"/>
    <mergeCell ref="B21:I21"/>
    <mergeCell ref="C63:J63"/>
    <mergeCell ref="C10:J10"/>
    <mergeCell ref="B136:I136"/>
    <mergeCell ref="A46:K46"/>
    <mergeCell ref="C117:J117"/>
    <mergeCell ref="B23:I23"/>
    <mergeCell ref="C9:J9"/>
    <mergeCell ref="B78:I78"/>
    <mergeCell ref="A154:K154"/>
    <mergeCell ref="C115:J115"/>
    <mergeCell ref="A129:K129"/>
    <mergeCell ref="C36:J36"/>
    <mergeCell ref="B49:I49"/>
    <mergeCell ref="B183:I183"/>
    <mergeCell ref="A140:K140"/>
    <mergeCell ref="A165:K165"/>
    <mergeCell ref="B51:I51"/>
    <mergeCell ref="C190:J190"/>
    <mergeCell ref="C37:J37"/>
    <mergeCell ref="A102:K102"/>
    <mergeCell ref="B50:I50"/>
    <mergeCell ref="B226:K226"/>
    <mergeCell ref="C92:J92"/>
    <mergeCell ref="B138:I138"/>
    <mergeCell ref="B25:I25"/>
    <mergeCell ref="B156:I156"/>
    <mergeCell ref="C62:J62"/>
    <mergeCell ref="C191:J191"/>
    <mergeCell ref="A207:K207"/>
    <mergeCell ref="B27:I27"/>
    <mergeCell ref="B155:I155"/>
    <mergeCell ref="A1:K1"/>
    <mergeCell ref="B222:K222"/>
    <mergeCell ref="B180:I180"/>
    <mergeCell ref="C64:J64"/>
    <mergeCell ref="C147:J147"/>
    <mergeCell ref="B130:I130"/>
    <mergeCell ref="B77:I77"/>
    <mergeCell ref="B221:K221"/>
    <mergeCell ref="C146:J146"/>
    <mergeCell ref="C93:J93"/>
    <mergeCell ref="B132:I132"/>
    <mergeCell ref="C90:J90"/>
    <mergeCell ref="B182:I182"/>
    <mergeCell ref="B103:I103"/>
    <mergeCell ref="C120:J120"/>
    <mergeCell ref="A32:K32"/>
    <mergeCell ref="A14:K14"/>
    <mergeCell ref="C119:J119"/>
    <mergeCell ref="B158:I158"/>
    <mergeCell ref="A96:K96"/>
    <mergeCell ref="B55:I55"/>
    <mergeCell ref="B24:I24"/>
    <mergeCell ref="B104:I104"/>
    <mergeCell ref="B160:I160"/>
    <mergeCell ref="B69:K69"/>
    <mergeCell ref="B79:I79"/>
    <mergeCell ref="A40:K40"/>
    <mergeCell ref="A67:K67"/>
    <mergeCell ref="B26:I26"/>
    <mergeCell ref="A220:K220"/>
    <mergeCell ref="C34:J34"/>
    <mergeCell ref="B106:I106"/>
    <mergeCell ref="B81:I81"/>
    <mergeCell ref="B184:I184"/>
    <mergeCell ref="B131:I131"/>
    <mergeCell ref="A110:K110"/>
    <mergeCell ref="B52:I52"/>
    <mergeCell ref="C94:J94"/>
    <mergeCell ref="C65:J65"/>
    <mergeCell ref="B107:I107"/>
    <mergeCell ref="C193:J193"/>
    <mergeCell ref="A75:K75"/>
    <mergeCell ref="B179:I179"/>
    <mergeCell ref="B157:I157"/>
    <mergeCell ref="C12:J12"/>
    <mergeCell ref="B53:I53"/>
    <mergeCell ref="A3:K3"/>
    <mergeCell ref="C192:J192"/>
    <mergeCell ref="A86:K86"/>
    <mergeCell ref="B223:K223"/>
    <mergeCell ref="B28:I28"/>
    <mergeCell ref="B108:I108"/>
    <mergeCell ref="A5:K5"/>
    <mergeCell ref="B84:I84"/>
    <mergeCell ref="A122:K122"/>
    <mergeCell ref="C91:J91"/>
    <mergeCell ref="A200:K200"/>
    <mergeCell ref="B20:I20"/>
    <mergeCell ref="A112:K112"/>
    <mergeCell ref="B133:I133"/>
    <mergeCell ref="B204:I204"/>
    <mergeCell ref="B80:I8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2026-03-11T06:35:34Z</dcterms:created>
  <dcterms:modified xsi:type="dcterms:W3CDTF">2026-03-16T09:46:11Z</dcterms:modified>
  <cp:revision>0</cp:revision>
</cp:coreProperties>
</file>