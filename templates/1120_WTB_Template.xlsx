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📋 Preparer Guide" sheetId="1" state="visible" r:id="rId1"/>
    <sheet name="PBC - P&amp;L" sheetId="2" state="visible" r:id="rId2"/>
    <sheet name="PBC - Balance Sheet" sheetId="3" state="visible" r:id="rId3"/>
    <sheet name="Strategy Inputs" sheetId="4" state="visible" r:id="rId4"/>
    <sheet name="Adjusting Entries" sheetId="5" state="visible" r:id="rId5"/>
    <sheet name="Schedule M-1" sheetId="6" state="visible" r:id="rId6"/>
    <sheet name="Schedule L" sheetId="7" state="visible" r:id="rId7"/>
    <sheet name="Schedule M-2" sheetId="8" state="visible" r:id="rId8"/>
    <sheet name="Schedule J" sheetId="9" state="visible" r:id="rId9"/>
    <sheet name="Schedule M-3" sheetId="10" state="visible" r:id="rId10"/>
    <sheet name="Working Trial Balance" sheetId="11" state="visible" r:id="rId1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"/>
  </numFmts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color rgb="FF000000"/>
      <sz val="8.5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9.5"/>
    </font>
    <font>
      <name val="Arial"/>
      <charset val="1"/>
      <family val="0"/>
      <b val="1"/>
      <color rgb="FF000000"/>
      <sz val="9"/>
    </font>
    <font>
      <name val="Arial"/>
      <charset val="1"/>
      <family val="0"/>
      <color rgb="FF000000"/>
      <sz val="9"/>
    </font>
    <font>
      <name val="Arial"/>
      <charset val="1"/>
      <family val="0"/>
      <color rgb="FF2F4F8F"/>
      <sz val="9"/>
    </font>
    <font>
      <name val="Arial"/>
      <charset val="1"/>
      <family val="0"/>
      <b val="1"/>
      <color rgb="FF00703C"/>
      <sz val="9"/>
    </font>
    <font>
      <name val="Arial"/>
      <charset val="1"/>
      <family val="0"/>
      <b val="1"/>
      <color rgb="FF0000AA"/>
      <sz val="9"/>
    </font>
    <font>
      <name val="Arial"/>
      <charset val="1"/>
      <family val="0"/>
      <i val="1"/>
      <color rgb="FF404040"/>
      <sz val="8.5"/>
    </font>
    <font>
      <name val="Arial"/>
      <charset val="1"/>
      <family val="0"/>
      <b val="1"/>
      <color rgb="FF9C0006"/>
      <sz val="9"/>
    </font>
    <font>
      <name val="Arial"/>
      <charset val="1"/>
      <family val="0"/>
      <b val="1"/>
      <color rgb="FF7A6000"/>
      <sz val="9"/>
    </font>
    <font>
      <name val="Arial"/>
      <charset val="1"/>
      <family val="0"/>
      <b val="1"/>
      <color rgb="FF375623"/>
      <sz val="9"/>
    </font>
    <font>
      <name val="Arial"/>
      <charset val="1"/>
      <family val="0"/>
      <b val="1"/>
      <color rgb="FFFFFFFF"/>
      <sz val="9"/>
    </font>
    <font>
      <name val="Calibri"/>
      <charset val="1"/>
      <family val="0"/>
      <b val="1"/>
      <color rgb="FF1B3A5C"/>
      <sz val="14"/>
    </font>
    <font>
      <name val="Calibri"/>
      <charset val="1"/>
      <family val="0"/>
      <color rgb="FF808080"/>
      <sz val="9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1B3A5C"/>
      <sz val="11"/>
    </font>
    <font>
      <name val="Calibri"/>
      <charset val="1"/>
      <family val="0"/>
      <sz val="11"/>
    </font>
    <font>
      <name val="Calibri"/>
      <charset val="1"/>
      <family val="0"/>
      <b val="1"/>
      <sz val="11"/>
    </font>
    <font>
      <name val="Calibri"/>
      <charset val="1"/>
      <family val="0"/>
      <color rgb="FF0000FF"/>
      <sz val="11"/>
    </font>
    <font>
      <name val="Calibri"/>
      <charset val="1"/>
      <family val="0"/>
      <color rgb="FF006400"/>
      <sz val="11"/>
    </font>
    <font>
      <name val="Calibri"/>
      <charset val="1"/>
      <family val="0"/>
      <color rgb="FFCC0000"/>
      <sz val="11"/>
    </font>
    <font>
      <name val="Calibri"/>
      <charset val="1"/>
      <family val="0"/>
      <b val="1"/>
      <color rgb="FFCC0000"/>
      <sz val="14"/>
    </font>
    <font>
      <name val="Calibri"/>
      <charset val="1"/>
      <family val="0"/>
      <b val="1"/>
      <color rgb="FF808080"/>
      <sz val="14"/>
    </font>
    <font>
      <name val="Calibri"/>
      <charset val="1"/>
      <family val="0"/>
      <b val="1"/>
      <color rgb="FF808080"/>
      <sz val="12"/>
    </font>
    <font>
      <name val="Calibri"/>
      <charset val="1"/>
      <family val="0"/>
      <b val="1"/>
      <color rgb="FFCC0000"/>
      <sz val="16"/>
    </font>
    <font>
      <name val="Calibri"/>
      <charset val="1"/>
      <family val="0"/>
      <b val="1"/>
      <color rgb="FF1B3A5C"/>
      <sz val="9"/>
    </font>
  </fonts>
  <fills count="17">
    <fill>
      <patternFill/>
    </fill>
    <fill>
      <patternFill patternType="gray125"/>
    </fill>
    <fill>
      <patternFill patternType="solid">
        <fgColor rgb="FF1F3864"/>
        <bgColor rgb="FF1B3A5C"/>
      </patternFill>
    </fill>
    <fill>
      <patternFill patternType="solid">
        <fgColor rgb="FFEDF2FA"/>
        <bgColor rgb="FFF2F2F2"/>
      </patternFill>
    </fill>
    <fill>
      <patternFill patternType="solid">
        <fgColor rgb="FF2F5496"/>
        <bgColor rgb="FF2F4F8F"/>
      </patternFill>
    </fill>
    <fill>
      <patternFill patternType="solid">
        <fgColor rgb="FFFFFFFF"/>
        <bgColor rgb="FFF2F2F2"/>
      </patternFill>
    </fill>
    <fill>
      <patternFill patternType="solid">
        <fgColor rgb="FFDDEEFF"/>
        <bgColor rgb="FFEDF2FA"/>
      </patternFill>
    </fill>
    <fill>
      <patternFill patternType="solid">
        <fgColor rgb="FFF2F2F2"/>
        <bgColor rgb="FFEDF2FA"/>
      </patternFill>
    </fill>
    <fill>
      <patternFill patternType="solid">
        <fgColor rgb="FFFFC7CE"/>
        <bgColor rgb="FFD9D9D9"/>
      </patternFill>
    </fill>
    <fill>
      <patternFill patternType="solid">
        <fgColor rgb="FFFFFF99"/>
        <bgColor rgb="FFFFFFCC"/>
      </patternFill>
    </fill>
    <fill>
      <patternFill patternType="solid">
        <fgColor rgb="FFE2EFDA"/>
        <bgColor rgb="FFF2F2F2"/>
      </patternFill>
    </fill>
    <fill>
      <patternFill patternType="solid">
        <fgColor rgb="FF1B3A5C"/>
        <bgColor rgb="FF1F3864"/>
      </patternFill>
    </fill>
    <fill>
      <patternFill patternType="solid">
        <fgColor rgb="FFD6E4F0"/>
        <bgColor rgb="FFDDEEFF"/>
      </patternFill>
    </fill>
    <fill>
      <patternFill patternType="solid">
        <fgColor rgb="FFC6EFCE"/>
        <bgColor rgb="FFE2EFDA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6E4F0"/>
      </patternFill>
    </fill>
    <fill>
      <patternFill patternType="solid">
        <fgColor rgb="FFFFF2CC"/>
        <bgColor rgb="FFFFFFCC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19" fillId="0" borderId="2" applyAlignment="1" pivotButton="0" quotePrefix="0" xfId="0">
      <alignment horizontal="general" vertical="center" wrapText="1"/>
    </xf>
    <xf numFmtId="0" fontId="20" fillId="0" borderId="2" applyAlignment="1" pivotButton="0" quotePrefix="0" xfId="0">
      <alignment horizontal="general" vertical="center" wrapText="1"/>
    </xf>
    <xf numFmtId="0" fontId="21" fillId="11" borderId="2" applyAlignment="1" pivotButton="0" quotePrefix="0" xfId="0">
      <alignment horizontal="center" vertical="center" wrapText="1"/>
    </xf>
    <xf numFmtId="0" fontId="22" fillId="12" borderId="3" applyAlignment="1" pivotButton="0" quotePrefix="0" xfId="0">
      <alignment horizontal="general" vertical="center" wrapText="1"/>
    </xf>
    <xf numFmtId="0" fontId="23" fillId="0" borderId="2" applyAlignment="1" pivotButton="0" quotePrefix="0" xfId="0">
      <alignment horizontal="general" vertical="center" wrapText="1"/>
    </xf>
    <xf numFmtId="164" fontId="23" fillId="0" borderId="2" applyAlignment="1" pivotButton="0" quotePrefix="0" xfId="0">
      <alignment horizontal="general" vertical="center" wrapText="1"/>
    </xf>
    <xf numFmtId="0" fontId="24" fillId="0" borderId="2" applyAlignment="1" pivotButton="0" quotePrefix="0" xfId="0">
      <alignment horizontal="general" vertical="center" wrapText="1"/>
    </xf>
    <xf numFmtId="164" fontId="24" fillId="0" borderId="2" applyAlignment="1" pivotButton="0" quotePrefix="0" xfId="0">
      <alignment horizontal="general" vertical="center" wrapText="1"/>
    </xf>
    <xf numFmtId="164" fontId="24" fillId="13" borderId="2" applyAlignment="1" pivotButton="0" quotePrefix="0" xfId="0">
      <alignment horizontal="general" vertical="center" wrapText="1"/>
    </xf>
    <xf numFmtId="0" fontId="23" fillId="0" borderId="2" applyAlignment="1" pivotButton="0" quotePrefix="0" xfId="0">
      <alignment horizontal="center" vertical="center"/>
    </xf>
    <xf numFmtId="164" fontId="25" fillId="14" borderId="2" applyAlignment="1" pivotButton="0" quotePrefix="0" xfId="0">
      <alignment horizontal="center" vertical="center"/>
    </xf>
    <xf numFmtId="164" fontId="26" fillId="0" borderId="2" applyAlignment="1" pivotButton="0" quotePrefix="0" xfId="0">
      <alignment horizontal="general" vertical="center" wrapText="1"/>
    </xf>
    <xf numFmtId="164" fontId="25" fillId="14" borderId="2" applyAlignment="1" pivotButton="0" quotePrefix="0" xfId="0">
      <alignment horizontal="general" vertical="center" wrapText="1"/>
    </xf>
    <xf numFmtId="0" fontId="24" fillId="0" borderId="2" applyAlignment="1" pivotButton="0" quotePrefix="0" xfId="0">
      <alignment horizontal="center" vertical="center"/>
    </xf>
    <xf numFmtId="164" fontId="27" fillId="8" borderId="2" applyAlignment="1" pivotButton="0" quotePrefix="0" xfId="0">
      <alignment horizontal="center" vertical="center"/>
    </xf>
    <xf numFmtId="164" fontId="24" fillId="0" borderId="0" applyAlignment="1" pivotButton="0" quotePrefix="0" xfId="0">
      <alignment horizontal="general" vertical="bottom"/>
    </xf>
    <xf numFmtId="0" fontId="20" fillId="0" borderId="3" applyAlignment="1" pivotButton="0" quotePrefix="0" xfId="0">
      <alignment horizontal="general" vertical="center" wrapText="1"/>
    </xf>
    <xf numFmtId="0" fontId="28" fillId="0" borderId="2" applyAlignment="1" pivotButton="0" quotePrefix="0" xfId="0">
      <alignment horizontal="general" vertical="center" wrapText="1"/>
    </xf>
    <xf numFmtId="0" fontId="29" fillId="15" borderId="2" applyAlignment="1" pivotButton="0" quotePrefix="0" xfId="0">
      <alignment horizontal="general" vertical="center" wrapText="1"/>
    </xf>
    <xf numFmtId="0" fontId="0" fillId="15" borderId="0" applyAlignment="1" pivotButton="0" quotePrefix="0" xfId="0">
      <alignment horizontal="general" vertical="bottom"/>
    </xf>
    <xf numFmtId="0" fontId="30" fillId="15" borderId="2" applyAlignment="1" pivotButton="0" quotePrefix="0" xfId="0">
      <alignment horizontal="general" vertical="center" wrapText="1"/>
    </xf>
    <xf numFmtId="0" fontId="20" fillId="15" borderId="2" applyAlignment="1" pivotButton="0" quotePrefix="0" xfId="0">
      <alignment horizontal="general" vertical="center" wrapText="1"/>
    </xf>
    <xf numFmtId="0" fontId="31" fillId="0" borderId="2" applyAlignment="1" pivotButton="0" quotePrefix="0" xfId="0">
      <alignment horizontal="general" vertical="center" wrapText="1"/>
    </xf>
    <xf numFmtId="0" fontId="32" fillId="0" borderId="2" applyAlignment="1" pivotButton="0" quotePrefix="0" xfId="0">
      <alignment horizontal="general" vertical="center" wrapText="1"/>
    </xf>
    <xf numFmtId="0" fontId="24" fillId="0" borderId="4" applyAlignment="1" pivotButton="0" quotePrefix="0" xfId="0">
      <alignment horizontal="general" vertical="center" wrapText="1"/>
    </xf>
    <xf numFmtId="164" fontId="24" fillId="0" borderId="4" applyAlignment="1" pivotButton="0" quotePrefix="0" xfId="0">
      <alignment horizontal="general" vertical="center" wrapText="1"/>
    </xf>
    <xf numFmtId="0" fontId="20" fillId="0" borderId="4" applyAlignment="1" pivotButton="0" quotePrefix="0" xfId="0">
      <alignment horizontal="general" vertical="center" wrapText="1"/>
    </xf>
    <xf numFmtId="164" fontId="24" fillId="13" borderId="4" applyAlignment="1" pivotButton="0" quotePrefix="0" xfId="0">
      <alignment horizontal="general" vertical="center" wrapText="1"/>
    </xf>
    <xf numFmtId="164" fontId="24" fillId="16" borderId="4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general" vertical="center" wrapText="1"/>
    </xf>
    <xf numFmtId="0" fontId="0" fillId="0" borderId="7" pivotButton="0" quotePrefix="0" xfId="0"/>
    <xf numFmtId="0" fontId="20" fillId="0" borderId="2" applyAlignment="1" pivotButton="0" quotePrefix="0" xfId="0">
      <alignment horizontal="general" vertical="center" wrapText="1"/>
    </xf>
    <xf numFmtId="0" fontId="21" fillId="11" borderId="2" applyAlignment="1" pivotButton="0" quotePrefix="0" xfId="0">
      <alignment horizontal="center" vertical="center" wrapText="1"/>
    </xf>
    <xf numFmtId="0" fontId="22" fillId="12" borderId="3" applyAlignment="1" pivotButton="0" quotePrefix="0" xfId="0">
      <alignment horizontal="general" vertical="center" wrapText="1"/>
    </xf>
    <xf numFmtId="0" fontId="0" fillId="0" borderId="8" pivotButton="0" quotePrefix="0" xfId="0"/>
    <xf numFmtId="0" fontId="23" fillId="0" borderId="2" applyAlignment="1" pivotButton="0" quotePrefix="0" xfId="0">
      <alignment horizontal="general" vertical="center" wrapText="1"/>
    </xf>
    <xf numFmtId="164" fontId="23" fillId="0" borderId="2" applyAlignment="1" pivotButton="0" quotePrefix="0" xfId="0">
      <alignment horizontal="general" vertical="center" wrapText="1"/>
    </xf>
    <xf numFmtId="0" fontId="24" fillId="0" borderId="2" applyAlignment="1" pivotButton="0" quotePrefix="0" xfId="0">
      <alignment horizontal="general" vertical="center" wrapText="1"/>
    </xf>
    <xf numFmtId="164" fontId="24" fillId="0" borderId="2" applyAlignment="1" pivotButton="0" quotePrefix="0" xfId="0">
      <alignment horizontal="general" vertical="center" wrapText="1"/>
    </xf>
    <xf numFmtId="164" fontId="24" fillId="13" borderId="2" applyAlignment="1" pivotButton="0" quotePrefix="0" xfId="0">
      <alignment horizontal="general" vertical="center" wrapText="1"/>
    </xf>
    <xf numFmtId="0" fontId="23" fillId="0" borderId="2" applyAlignment="1" pivotButton="0" quotePrefix="0" xfId="0">
      <alignment horizontal="center" vertical="center"/>
    </xf>
    <xf numFmtId="164" fontId="25" fillId="14" borderId="2" applyAlignment="1" pivotButton="0" quotePrefix="0" xfId="0">
      <alignment horizontal="center" vertical="center"/>
    </xf>
    <xf numFmtId="164" fontId="26" fillId="0" borderId="2" applyAlignment="1" pivotButton="0" quotePrefix="0" xfId="0">
      <alignment horizontal="general" vertical="center" wrapText="1"/>
    </xf>
    <xf numFmtId="164" fontId="25" fillId="14" borderId="2" applyAlignment="1" pivotButton="0" quotePrefix="0" xfId="0">
      <alignment horizontal="general" vertical="center" wrapText="1"/>
    </xf>
    <xf numFmtId="0" fontId="24" fillId="0" borderId="2" applyAlignment="1" pivotButton="0" quotePrefix="0" xfId="0">
      <alignment horizontal="center" vertical="center"/>
    </xf>
    <xf numFmtId="164" fontId="27" fillId="8" borderId="2" applyAlignment="1" pivotButton="0" quotePrefix="0" xfId="0">
      <alignment horizontal="center" vertical="center"/>
    </xf>
    <xf numFmtId="164" fontId="24" fillId="0" borderId="0" applyAlignment="1" pivotButton="0" quotePrefix="0" xfId="0">
      <alignment horizontal="general" vertical="bottom"/>
    </xf>
    <xf numFmtId="0" fontId="20" fillId="0" borderId="3" applyAlignment="1" pivotButton="0" quotePrefix="0" xfId="0">
      <alignment horizontal="general" vertical="center" wrapText="1"/>
    </xf>
    <xf numFmtId="0" fontId="28" fillId="0" borderId="2" applyAlignment="1" pivotButton="0" quotePrefix="0" xfId="0">
      <alignment horizontal="general" vertical="center" wrapText="1"/>
    </xf>
    <xf numFmtId="0" fontId="29" fillId="15" borderId="2" applyAlignment="1" pivotButton="0" quotePrefix="0" xfId="0">
      <alignment horizontal="general" vertical="center" wrapText="1"/>
    </xf>
    <xf numFmtId="0" fontId="0" fillId="15" borderId="0" applyAlignment="1" pivotButton="0" quotePrefix="0" xfId="0">
      <alignment horizontal="general" vertical="bottom"/>
    </xf>
    <xf numFmtId="0" fontId="30" fillId="15" borderId="2" applyAlignment="1" pivotButton="0" quotePrefix="0" xfId="0">
      <alignment horizontal="general" vertical="center" wrapText="1"/>
    </xf>
    <xf numFmtId="0" fontId="20" fillId="15" borderId="2" applyAlignment="1" pivotButton="0" quotePrefix="0" xfId="0">
      <alignment horizontal="general" vertical="center" wrapText="1"/>
    </xf>
    <xf numFmtId="0" fontId="31" fillId="0" borderId="2" applyAlignment="1" pivotButton="0" quotePrefix="0" xfId="0">
      <alignment horizontal="general" vertical="center" wrapText="1"/>
    </xf>
    <xf numFmtId="0" fontId="32" fillId="0" borderId="2" applyAlignment="1" pivotButton="0" quotePrefix="0" xfId="0">
      <alignment horizontal="general" vertical="center" wrapText="1"/>
    </xf>
    <xf numFmtId="0" fontId="24" fillId="0" borderId="4" applyAlignment="1" pivotButton="0" quotePrefix="0" xfId="0">
      <alignment horizontal="general" vertical="center" wrapText="1"/>
    </xf>
    <xf numFmtId="164" fontId="24" fillId="0" borderId="4" applyAlignment="1" pivotButton="0" quotePrefix="0" xfId="0">
      <alignment horizontal="general" vertical="center" wrapText="1"/>
    </xf>
    <xf numFmtId="0" fontId="20" fillId="0" borderId="4" applyAlignment="1" pivotButton="0" quotePrefix="0" xfId="0">
      <alignment horizontal="general" vertical="center" wrapText="1"/>
    </xf>
    <xf numFmtId="164" fontId="24" fillId="13" borderId="4" applyAlignment="1" pivotButton="0" quotePrefix="0" xfId="0">
      <alignment horizontal="general" vertical="center" wrapText="1"/>
    </xf>
    <xf numFmtId="164" fontId="24" fillId="16" borderId="4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C0000"/>
      <rgbColor rgb="FF00FF00"/>
      <rgbColor rgb="FF0000FF"/>
      <rgbColor rgb="FFFFF2CC"/>
      <rgbColor rgb="FFFF00FF"/>
      <rgbColor rgb="FF00FFFF"/>
      <rgbColor rgb="FF9C0006"/>
      <rgbColor rgb="FF006400"/>
      <rgbColor rgb="FF0000AA"/>
      <rgbColor rgb="FF7A6000"/>
      <rgbColor rgb="FF800080"/>
      <rgbColor rgb="FF00703C"/>
      <rgbColor rgb="FFBFBFBF"/>
      <rgbColor rgb="FF808080"/>
      <rgbColor rgb="FF9999FF"/>
      <rgbColor rgb="FF993366"/>
      <rgbColor rgb="FFFFFFCC"/>
      <rgbColor rgb="FFDDEEFF"/>
      <rgbColor rgb="FF660066"/>
      <rgbColor rgb="FFFF8080"/>
      <rgbColor rgb="FF2F4F8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FA"/>
      <rgbColor rgb="FFC6EFCE"/>
      <rgbColor rgb="FFFFFF99"/>
      <rgbColor rgb="FFD6E4F0"/>
      <rgbColor rgb="FFE2EFDA"/>
      <rgbColor rgb="FFF2F2F2"/>
      <rgbColor rgb="FFFFC7CE"/>
      <rgbColor rgb="FF4472C4"/>
      <rgbColor rgb="FF33CCCC"/>
      <rgbColor rgb="FF99CC00"/>
      <rgbColor rgb="FFFFCC00"/>
      <rgbColor rgb="FFB8860B"/>
      <rgbColor rgb="FFFF6600"/>
      <rgbColor rgb="FF2F5496"/>
      <rgbColor rgb="FF969696"/>
      <rgbColor rgb="FF1B3A5C"/>
      <rgbColor rgb="FF339966"/>
      <rgbColor rgb="FF003300"/>
      <rgbColor rgb="FF375623"/>
      <rgbColor rgb="FF993300"/>
      <rgbColor rgb="FF993366"/>
      <rgbColor rgb="FF1F3864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F1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51" min="1" max="1"/>
    <col width="30" customWidth="1" style="51" min="2" max="2"/>
    <col width="32" customWidth="1" style="51" min="3" max="3"/>
    <col width="25" customWidth="1" style="51" min="4" max="4"/>
    <col width="14" customWidth="1" style="51" min="5" max="5"/>
    <col width="45" customWidth="1" style="51" min="6" max="6"/>
  </cols>
  <sheetData>
    <row r="1" ht="36" customHeight="1" s="52">
      <c r="A1" s="53" t="inlineStr">
        <is>
          <t>1120 (C-CORP) — PREPARER'S DATA ENTRY GUIDE</t>
        </is>
      </c>
    </row>
    <row r="2" ht="18" customHeight="1" s="52">
      <c r="A2" s="54" t="inlineStr">
        <is>
          <t>All manual entries, their source documents, and their destination cells — in workflow order.</t>
        </is>
      </c>
    </row>
    <row r="3" ht="27.75" customHeight="1" s="52">
      <c r="A3" s="55" t="inlineStr">
        <is>
          <t xml:space="preserve">  🔵 BLUE = Type directly into cell (hardcoded input)   🔴 RED = From prior-year return — enter once, verify annually   🟡 YELLOW = Strategy / adjustment input   🟢 GREEN = Auto-calculated — no entry needed</t>
        </is>
      </c>
    </row>
    <row r="4" ht="7.5" customHeight="1" s="52"/>
    <row r="5" ht="31.5" customHeight="1" s="52">
      <c r="A5" s="56" t="inlineStr">
        <is>
          <t>#</t>
        </is>
      </c>
      <c r="B5" s="56" t="inlineStr">
        <is>
          <t>WHAT TO ENTER</t>
        </is>
      </c>
      <c r="C5" s="56" t="inlineStr">
        <is>
          <t>WHERE TO FIND IT</t>
        </is>
      </c>
      <c r="D5" s="56" t="inlineStr">
        <is>
          <t>GOES INTO (TAB → CELL)</t>
        </is>
      </c>
      <c r="E5" s="56" t="inlineStr">
        <is>
          <t>ENTRY TYPE</t>
        </is>
      </c>
      <c r="F5" s="56" t="inlineStr">
        <is>
          <t>RULES / NOTES</t>
        </is>
      </c>
    </row>
    <row r="6" ht="21.75" customHeight="1" s="52">
      <c r="A6" s="57" t="inlineStr">
        <is>
          <t xml:space="preserve">  STEP 1 — PBC P&amp;L TAB: Transcribe Client's QuickBooks Profit &amp; Loss    ↳ Pull from QuickBooks (or client-provided P&amp;L). Every blue cell in PBC – P&amp;L feeds the entire WTB. Get these right first.</t>
        </is>
      </c>
    </row>
    <row r="7" ht="27.75" customHeight="1" s="52">
      <c r="A7" s="58" t="n">
        <v>1</v>
      </c>
      <c r="B7" s="59" t="inlineStr">
        <is>
          <t>Gross Receipts / Sales</t>
        </is>
      </c>
      <c r="C7" s="60" t="inlineStr">
        <is>
          <t>QB P&amp;L → Revenue section → top line</t>
        </is>
      </c>
      <c r="D7" s="61" t="inlineStr">
        <is>
          <t>PBC – P&amp;L  B6</t>
        </is>
      </c>
      <c r="E7" s="62" t="inlineStr">
        <is>
          <t>PBC Input</t>
        </is>
      </c>
      <c r="F7" s="63" t="inlineStr">
        <is>
          <t>Gross before returns. Ties to WTB → Pg 1 Ln 1a.</t>
        </is>
      </c>
    </row>
    <row r="8" ht="27.75" customHeight="1" s="52">
      <c r="A8" s="64" t="n">
        <v>2</v>
      </c>
      <c r="B8" s="65" t="inlineStr">
        <is>
          <t>Returns &amp; Allowances</t>
        </is>
      </c>
      <c r="C8" s="66" t="inlineStr">
        <is>
          <t>QB P&amp;L → Returns &amp; Allowances</t>
        </is>
      </c>
      <c r="D8" s="67" t="inlineStr">
        <is>
          <t>PBC – P&amp;L  B7</t>
        </is>
      </c>
      <c r="E8" s="62" t="inlineStr">
        <is>
          <t>PBC Input</t>
        </is>
      </c>
      <c r="F8" s="68" t="inlineStr">
        <is>
          <t>Enter as negative. Ties to Pg 1 Ln 1b.</t>
        </is>
      </c>
    </row>
    <row r="9" ht="27.75" customHeight="1" s="52">
      <c r="A9" s="58" t="n">
        <v>3</v>
      </c>
      <c r="B9" s="59" t="inlineStr">
        <is>
          <t>Cost of Goods Sold (COGS)</t>
        </is>
      </c>
      <c r="C9" s="60" t="inlineStr">
        <is>
          <t>QB P&amp;L → COGS total</t>
        </is>
      </c>
      <c r="D9" s="61" t="inlineStr">
        <is>
          <t>PBC – P&amp;L  B12</t>
        </is>
      </c>
      <c r="E9" s="62" t="inlineStr">
        <is>
          <t>PBC Input</t>
        </is>
      </c>
      <c r="F9" s="63" t="inlineStr">
        <is>
          <t>Ties to Pg 1 Ln 2.</t>
        </is>
      </c>
    </row>
    <row r="10" ht="27.75" customHeight="1" s="52">
      <c r="A10" s="64" t="n">
        <v>4</v>
      </c>
      <c r="B10" s="65" t="inlineStr">
        <is>
          <t>Rental / Lease Income (Other)</t>
        </is>
      </c>
      <c r="C10" s="66" t="inlineStr">
        <is>
          <t>QB P&amp;L → Other Income → Rental</t>
        </is>
      </c>
      <c r="D10" s="67" t="inlineStr">
        <is>
          <t>PBC – P&amp;L  B9</t>
        </is>
      </c>
      <c r="E10" s="62" t="inlineStr">
        <is>
          <t>PBC Input</t>
        </is>
      </c>
      <c r="F10" s="68" t="inlineStr">
        <is>
          <t>AJE-01 auto-removes from OBI → Pg 1 Ln 6.</t>
        </is>
      </c>
    </row>
    <row r="11" ht="27.75" customHeight="1" s="52">
      <c r="A11" s="58" t="n">
        <v>5</v>
      </c>
      <c r="B11" s="59" t="inlineStr">
        <is>
          <t>Interest Income</t>
        </is>
      </c>
      <c r="C11" s="60" t="inlineStr">
        <is>
          <t>QB P&amp;L → Other Income → Interest  OR  1099-INT</t>
        </is>
      </c>
      <c r="D11" s="61" t="inlineStr">
        <is>
          <t>PBC – P&amp;L  B16</t>
        </is>
      </c>
      <c r="E11" s="62" t="inlineStr">
        <is>
          <t>PBC Input</t>
        </is>
      </c>
      <c r="F11" s="63" t="inlineStr">
        <is>
          <t>AJE-02 auto-moves → Pg 1 Ln 5.</t>
        </is>
      </c>
    </row>
    <row r="12" ht="27.75" customHeight="1" s="52">
      <c r="A12" s="64" t="n">
        <v>6</v>
      </c>
      <c r="B12" s="65" t="inlineStr">
        <is>
          <t>Dividend Income</t>
        </is>
      </c>
      <c r="C12" s="66" t="inlineStr">
        <is>
          <t>QB P&amp;L → Other Income → Dividends  OR  1099-DIV</t>
        </is>
      </c>
      <c r="D12" s="67" t="inlineStr">
        <is>
          <t>PBC – P&amp;L  B17</t>
        </is>
      </c>
      <c r="E12" s="62" t="inlineStr">
        <is>
          <t>PBC Input</t>
        </is>
      </c>
      <c r="F12" s="68" t="inlineStr">
        <is>
          <t>AJE-03 auto-moves → Pg 1 Ln 4 / Sch C for DRD.</t>
        </is>
      </c>
    </row>
    <row r="13" ht="27.75" customHeight="1" s="52">
      <c r="A13" s="58" t="n">
        <v>7</v>
      </c>
      <c r="B13" s="59" t="inlineStr">
        <is>
          <t>Long-Term Capital Gains</t>
        </is>
      </c>
      <c r="C13" s="60" t="inlineStr">
        <is>
          <t>QB P&amp;L → Other Income → Cap Gains  OR  1099-B</t>
        </is>
      </c>
      <c r="D13" s="61" t="inlineStr">
        <is>
          <t>PBC – P&amp;L  B18</t>
        </is>
      </c>
      <c r="E13" s="62" t="inlineStr">
        <is>
          <t>PBC Input</t>
        </is>
      </c>
      <c r="F13" s="63" t="inlineStr">
        <is>
          <t>AJE-04 auto-moves → Pg 1 Ln 8 / Sch D.</t>
        </is>
      </c>
    </row>
    <row r="14" ht="27.75" customHeight="1" s="52">
      <c r="A14" s="64" t="n">
        <v>8</v>
      </c>
      <c r="B14" s="65" t="inlineStr">
        <is>
          <t>Gain on Equipment Sale</t>
        </is>
      </c>
      <c r="C14" s="66" t="inlineStr">
        <is>
          <t>QB P&amp;L → Other Income → Gain on Disposal</t>
        </is>
      </c>
      <c r="D14" s="67" t="inlineStr">
        <is>
          <t>PBC – P&amp;L  B19</t>
        </is>
      </c>
      <c r="E14" s="62" t="inlineStr">
        <is>
          <t>PBC Input</t>
        </is>
      </c>
      <c r="F14" s="68" t="inlineStr">
        <is>
          <t>AJE-05 auto-moves → Pg 1 Ln 9 / Form 4797.</t>
        </is>
      </c>
    </row>
    <row r="15" ht="27.75" customHeight="1" s="52">
      <c r="A15" s="58" t="n">
        <v>9</v>
      </c>
      <c r="B15" s="59" t="inlineStr">
        <is>
          <t>Tax-Exempt / Muni Interest</t>
        </is>
      </c>
      <c r="C15" s="60" t="inlineStr">
        <is>
          <t>QB P&amp;L → Other Income → Tax-Exempt Interest</t>
        </is>
      </c>
      <c r="D15" s="61" t="inlineStr">
        <is>
          <t>PBC – P&amp;L  B20</t>
        </is>
      </c>
      <c r="E15" s="62" t="inlineStr">
        <is>
          <t>PBC Input</t>
        </is>
      </c>
      <c r="F15" s="63" t="inlineStr">
        <is>
          <t>AJE-17 removes from taxable income. M-1 Ln 7.</t>
        </is>
      </c>
    </row>
    <row r="16" ht="27.75" customHeight="1" s="52">
      <c r="A16" s="64" t="n">
        <v>10</v>
      </c>
      <c r="B16" s="65" t="inlineStr">
        <is>
          <t>Unrealized Gain / Mark-to-Market</t>
        </is>
      </c>
      <c r="C16" s="66" t="inlineStr">
        <is>
          <t>QB P&amp;L → Other Income → Unrealized Gain</t>
        </is>
      </c>
      <c r="D16" s="67" t="inlineStr">
        <is>
          <t>PBC – P&amp;L  B21</t>
        </is>
      </c>
      <c r="E16" s="62" t="inlineStr">
        <is>
          <t>PBC Input</t>
        </is>
      </c>
      <c r="F16" s="68" t="inlineStr">
        <is>
          <t>AJE-18 removes — never taxable until realized.</t>
        </is>
      </c>
    </row>
    <row r="17" ht="27.75" customHeight="1" s="52">
      <c r="A17" s="58" t="n">
        <v>11</v>
      </c>
      <c r="B17" s="59" t="inlineStr">
        <is>
          <t>Royalty Income</t>
        </is>
      </c>
      <c r="C17" s="60" t="inlineStr">
        <is>
          <t>QB P&amp;L → Other Income → Royalties</t>
        </is>
      </c>
      <c r="D17" s="61" t="inlineStr">
        <is>
          <t>PBC – P&amp;L  B22</t>
        </is>
      </c>
      <c r="E17" s="62" t="inlineStr">
        <is>
          <t>PBC Input</t>
        </is>
      </c>
      <c r="F17" s="63" t="inlineStr">
        <is>
          <t>Stays on Pg 1 Ln 7.</t>
        </is>
      </c>
    </row>
    <row r="18" ht="27.75" customHeight="1" s="52">
      <c r="A18" s="64" t="n">
        <v>12</v>
      </c>
      <c r="B18" s="65" t="inlineStr">
        <is>
          <t>Officer Compensation</t>
        </is>
      </c>
      <c r="C18" s="66" t="inlineStr">
        <is>
          <t>QB P&amp;L → Salaries → Officer Comp  AND  W-2s</t>
        </is>
      </c>
      <c r="D18" s="67" t="inlineStr">
        <is>
          <t>PBC – P&amp;L  B27</t>
        </is>
      </c>
      <c r="E18" s="62" t="inlineStr">
        <is>
          <t>PBC Input</t>
        </is>
      </c>
      <c r="F18" s="68" t="inlineStr">
        <is>
          <t>Cross-check W-2 Box 1 total for all officers.</t>
        </is>
      </c>
    </row>
    <row r="19" ht="27.75" customHeight="1" s="52">
      <c r="A19" s="58" t="n">
        <v>13</v>
      </c>
      <c r="B19" s="59" t="inlineStr">
        <is>
          <t>Salaries &amp; Wages (non-officer)</t>
        </is>
      </c>
      <c r="C19" s="60" t="inlineStr">
        <is>
          <t>QB P&amp;L → Salaries → Employee Wages</t>
        </is>
      </c>
      <c r="D19" s="61" t="inlineStr">
        <is>
          <t>PBC – P&amp;L  B30</t>
        </is>
      </c>
      <c r="E19" s="62" t="inlineStr">
        <is>
          <t>PBC Input</t>
        </is>
      </c>
      <c r="F19" s="63" t="inlineStr">
        <is>
          <t>Pg 1 Ln 13.</t>
        </is>
      </c>
    </row>
    <row r="20" ht="27.75" customHeight="1" s="52">
      <c r="A20" s="64" t="n">
        <v>14</v>
      </c>
      <c r="B20" s="65" t="inlineStr">
        <is>
          <t>Depreciation — Vehicles</t>
        </is>
      </c>
      <c r="C20" s="66" t="inlineStr">
        <is>
          <t>QB P&amp;L → Depreciation → Vehicle</t>
        </is>
      </c>
      <c r="D20" s="67" t="inlineStr">
        <is>
          <t>PBC – P&amp;L  B37</t>
        </is>
      </c>
      <c r="E20" s="62" t="inlineStr">
        <is>
          <t>PBC Input</t>
        </is>
      </c>
      <c r="F20" s="68" t="inlineStr">
        <is>
          <t>All book depr is auto-removed in WTB; replaced by MACRS.</t>
        </is>
      </c>
    </row>
    <row r="21" ht="27.75" customHeight="1" s="52">
      <c r="A21" s="58" t="n">
        <v>15</v>
      </c>
      <c r="B21" s="59" t="inlineStr">
        <is>
          <t>Depreciation — FF&amp;E</t>
        </is>
      </c>
      <c r="C21" s="60" t="inlineStr">
        <is>
          <t>QB P&amp;L → Depreciation → Furniture/Equipment</t>
        </is>
      </c>
      <c r="D21" s="61" t="inlineStr">
        <is>
          <t>PBC – P&amp;L  B38</t>
        </is>
      </c>
      <c r="E21" s="62" t="inlineStr">
        <is>
          <t>PBC Input</t>
        </is>
      </c>
      <c r="F21" s="63" t="inlineStr">
        <is>
          <t>Same — book depr removed; MACRS/§179 added via Strategy Inputs.</t>
        </is>
      </c>
    </row>
    <row r="22" ht="27.75" customHeight="1" s="52">
      <c r="A22" s="64" t="n">
        <v>16</v>
      </c>
      <c r="B22" s="65" t="inlineStr">
        <is>
          <t>Depreciation — Computers</t>
        </is>
      </c>
      <c r="C22" s="66" t="inlineStr">
        <is>
          <t>QB P&amp;L → Depreciation → Computers/Tech</t>
        </is>
      </c>
      <c r="D22" s="67" t="inlineStr">
        <is>
          <t>PBC – P&amp;L  B39</t>
        </is>
      </c>
      <c r="E22" s="62" t="inlineStr">
        <is>
          <t>PBC Input</t>
        </is>
      </c>
      <c r="F22" s="68" t="inlineStr">
        <is>
          <t>Enter book amounts. Tax depr entered separately in Step 3.</t>
        </is>
      </c>
    </row>
    <row r="23" ht="27.75" customHeight="1" s="52">
      <c r="A23" s="58" t="n">
        <v>17</v>
      </c>
      <c r="B23" s="59" t="inlineStr">
        <is>
          <t>Depreciation — Leasehold</t>
        </is>
      </c>
      <c r="C23" s="60" t="inlineStr">
        <is>
          <t>QB P&amp;L → Depreciation → Leasehold Improvements</t>
        </is>
      </c>
      <c r="D23" s="61" t="inlineStr">
        <is>
          <t>PBC – P&amp;L  B40</t>
        </is>
      </c>
      <c r="E23" s="62" t="inlineStr">
        <is>
          <t>PBC Input</t>
        </is>
      </c>
      <c r="F23" s="63" t="inlineStr">
        <is>
          <t>Same.</t>
        </is>
      </c>
    </row>
    <row r="24" ht="27.75" customHeight="1" s="52">
      <c r="A24" s="64" t="n">
        <v>18</v>
      </c>
      <c r="B24" s="65" t="inlineStr">
        <is>
          <t>Meals (Business)</t>
        </is>
      </c>
      <c r="C24" s="66" t="inlineStr">
        <is>
          <t>QB P&amp;L → Meals &amp; Entertainment → Meals</t>
        </is>
      </c>
      <c r="D24" s="67" t="inlineStr">
        <is>
          <t>PBC – P&amp;L  B43</t>
        </is>
      </c>
      <c r="E24" s="62" t="inlineStr">
        <is>
          <t>PBC Input</t>
        </is>
      </c>
      <c r="F24" s="68" t="inlineStr">
        <is>
          <t>50% disallowed auto-flows to M-1 Ln 5c.</t>
        </is>
      </c>
    </row>
    <row r="25" ht="27.75" customHeight="1" s="52">
      <c r="A25" s="58" t="n">
        <v>19</v>
      </c>
      <c r="B25" s="59" t="inlineStr">
        <is>
          <t>Entertainment</t>
        </is>
      </c>
      <c r="C25" s="60" t="inlineStr">
        <is>
          <t>QB P&amp;L → Meals &amp; Entertainment → Entertainment</t>
        </is>
      </c>
      <c r="D25" s="61" t="inlineStr">
        <is>
          <t>PBC – P&amp;L  B44</t>
        </is>
      </c>
      <c r="E25" s="62" t="inlineStr">
        <is>
          <t>PBC Input</t>
        </is>
      </c>
      <c r="F25" s="63" t="inlineStr">
        <is>
          <t>100% disallowed — AJE-08 removes; M-1 Ln 5d.</t>
        </is>
      </c>
    </row>
    <row r="26" ht="27.75" customHeight="1" s="52">
      <c r="A26" s="64" t="n">
        <v>20</v>
      </c>
      <c r="B26" s="65" t="inlineStr">
        <is>
          <t>Charitable Contributions</t>
        </is>
      </c>
      <c r="C26" s="66" t="inlineStr">
        <is>
          <t>QB P&amp;L → Charitable Donations</t>
        </is>
      </c>
      <c r="D26" s="67" t="inlineStr">
        <is>
          <t>PBC – P&amp;L  B45</t>
        </is>
      </c>
      <c r="E26" s="62" t="inlineStr">
        <is>
          <t>PBC Input</t>
        </is>
      </c>
      <c r="F26" s="68" t="inlineStr">
        <is>
          <t>Limited to 10% of taxable income. Excess enters Strategy Inputs.</t>
        </is>
      </c>
    </row>
    <row r="27" ht="27.75" customHeight="1" s="52">
      <c r="A27" s="58" t="n">
        <v>21</v>
      </c>
      <c r="B27" s="59" t="inlineStr">
        <is>
          <t>Political Contributions</t>
        </is>
      </c>
      <c r="C27" s="60" t="inlineStr">
        <is>
          <t>QB P&amp;L → Political / PAC</t>
        </is>
      </c>
      <c r="D27" s="61" t="inlineStr">
        <is>
          <t>PBC – P&amp;L  B46</t>
        </is>
      </c>
      <c r="E27" s="62" t="inlineStr">
        <is>
          <t>PBC Input</t>
        </is>
      </c>
      <c r="F27" s="63" t="inlineStr">
        <is>
          <t>100% nondeductible — flows to M-1.</t>
        </is>
      </c>
    </row>
    <row r="28" ht="27.75" customHeight="1" s="52">
      <c r="A28" s="64" t="n">
        <v>22</v>
      </c>
      <c r="B28" s="65" t="inlineStr">
        <is>
          <t>Penalties &amp; Fines</t>
        </is>
      </c>
      <c r="C28" s="66" t="inlineStr">
        <is>
          <t>QB P&amp;L → Penalties</t>
        </is>
      </c>
      <c r="D28" s="67" t="inlineStr">
        <is>
          <t>PBC – P&amp;L  B47</t>
        </is>
      </c>
      <c r="E28" s="62" t="inlineStr">
        <is>
          <t>PBC Input</t>
        </is>
      </c>
      <c r="F28" s="68" t="inlineStr">
        <is>
          <t>100% nondeductible — flows to M-1.</t>
        </is>
      </c>
    </row>
    <row r="29" ht="27.75" customHeight="1" s="52">
      <c r="A29" s="58" t="n">
        <v>23</v>
      </c>
      <c r="B29" s="59" t="inlineStr">
        <is>
          <t>Life Insurance Premiums</t>
        </is>
      </c>
      <c r="C29" s="60" t="inlineStr">
        <is>
          <t>QB P&amp;L → Insurance → Life Insurance</t>
        </is>
      </c>
      <c r="D29" s="61" t="inlineStr">
        <is>
          <t>PBC – P&amp;L  B48</t>
        </is>
      </c>
      <c r="E29" s="62" t="inlineStr">
        <is>
          <t>PBC Input</t>
        </is>
      </c>
      <c r="F29" s="63" t="inlineStr">
        <is>
          <t>Nondeductible if corp is beneficiary — flows to M-1.</t>
        </is>
      </c>
    </row>
    <row r="30" ht="27.75" customHeight="1" s="52">
      <c r="A30" s="64" t="n">
        <v>24</v>
      </c>
      <c r="B30" s="65" t="inlineStr">
        <is>
          <t>Club Dues / Memberships</t>
        </is>
      </c>
      <c r="C30" s="66" t="inlineStr">
        <is>
          <t>QB P&amp;L → Dues &amp; Subscriptions → Club</t>
        </is>
      </c>
      <c r="D30" s="67" t="inlineStr">
        <is>
          <t>PBC – P&amp;L  B49</t>
        </is>
      </c>
      <c r="E30" s="62" t="inlineStr">
        <is>
          <t>PBC Input</t>
        </is>
      </c>
      <c r="F30" s="68" t="inlineStr">
        <is>
          <t>100% nondeductible — flows to M-1.</t>
        </is>
      </c>
    </row>
    <row r="31" ht="27.75" customHeight="1" s="52">
      <c r="A31" s="58" t="n">
        <v>25</v>
      </c>
      <c r="B31" s="59" t="inlineStr">
        <is>
          <t>Rental Activity Expenses</t>
        </is>
      </c>
      <c r="C31" s="60" t="inlineStr">
        <is>
          <t>QB P&amp;L → Rental Expense section</t>
        </is>
      </c>
      <c r="D31" s="61" t="inlineStr">
        <is>
          <t>PBC – P&amp;L  B50</t>
        </is>
      </c>
      <c r="E31" s="62" t="inlineStr">
        <is>
          <t>PBC Input</t>
        </is>
      </c>
      <c r="F31" s="63" t="inlineStr">
        <is>
          <t>AJE-01 nets against rental income on Pg 1 Ln 6.</t>
        </is>
      </c>
    </row>
    <row r="32" ht="27.75" customHeight="1" s="52">
      <c r="A32" s="64" t="n">
        <v>26</v>
      </c>
      <c r="B32" s="65" t="inlineStr">
        <is>
          <t>All Other Deductions</t>
        </is>
      </c>
      <c r="C32" s="66" t="inlineStr">
        <is>
          <t>QB P&amp;L → remaining expense lines</t>
        </is>
      </c>
      <c r="D32" s="67" t="inlineStr">
        <is>
          <t>PBC – P&amp;L  B51</t>
        </is>
      </c>
      <c r="E32" s="62" t="inlineStr">
        <is>
          <t>PBC Input</t>
        </is>
      </c>
      <c r="F32" s="68" t="inlineStr">
        <is>
          <t>Advertising, repairs, interest, taxes, etc. Enter each line.</t>
        </is>
      </c>
    </row>
    <row r="33" ht="21.75" customHeight="1" s="52">
      <c r="A33" s="57" t="inlineStr">
        <is>
          <t xml:space="preserve">  STEP 2 — PBC BALANCE SHEET TAB: Transcribe Client's Year-End Balance Sheet    ↳ All amounts are END OF YEAR (12/31/[YEAR]). Feeds Sch L EOY column and WTB balance sheet section.</t>
        </is>
      </c>
    </row>
    <row r="34" ht="27.75" customHeight="1" s="52">
      <c r="A34" s="58" t="n">
        <v>27</v>
      </c>
      <c r="B34" s="59" t="inlineStr">
        <is>
          <t>Cash &amp; Equivalents</t>
        </is>
      </c>
      <c r="C34" s="60" t="inlineStr">
        <is>
          <t>QB Balance Sheet → Current Assets → Cash</t>
        </is>
      </c>
      <c r="D34" s="61" t="inlineStr">
        <is>
          <t>PBC – BS  B6</t>
        </is>
      </c>
      <c r="E34" s="62" t="inlineStr">
        <is>
          <t>PBC Input</t>
        </is>
      </c>
      <c r="F34" s="63" t="inlineStr">
        <is>
          <t>Sch L Ln 1(d).</t>
        </is>
      </c>
    </row>
    <row r="35" ht="27.75" customHeight="1" s="52">
      <c r="A35" s="64" t="n">
        <v>28</v>
      </c>
      <c r="B35" s="65" t="inlineStr">
        <is>
          <t>Accounts Receivable (gross)</t>
        </is>
      </c>
      <c r="C35" s="66" t="inlineStr">
        <is>
          <t>QB BS → AR → Gross (before allowance)</t>
        </is>
      </c>
      <c r="D35" s="67" t="inlineStr">
        <is>
          <t>PBC – BS  B7</t>
        </is>
      </c>
      <c r="E35" s="62" t="inlineStr">
        <is>
          <t>PBC Input</t>
        </is>
      </c>
      <c r="F35" s="68" t="inlineStr">
        <is>
          <t>Sch L Ln 2a.</t>
        </is>
      </c>
    </row>
    <row r="36" ht="27.75" customHeight="1" s="52">
      <c r="A36" s="58" t="n">
        <v>29</v>
      </c>
      <c r="B36" s="59" t="inlineStr">
        <is>
          <t>Allowance for Bad Debts</t>
        </is>
      </c>
      <c r="C36" s="60" t="inlineStr">
        <is>
          <t>QB BS → AR → Allowance</t>
        </is>
      </c>
      <c r="D36" s="61" t="inlineStr">
        <is>
          <t>PBC – BS  B8</t>
        </is>
      </c>
      <c r="E36" s="62" t="inlineStr">
        <is>
          <t>PBC Input</t>
        </is>
      </c>
      <c r="F36" s="63" t="inlineStr">
        <is>
          <t>Enter as negative. Sch L Ln 2b.</t>
        </is>
      </c>
    </row>
    <row r="37" ht="27.75" customHeight="1" s="52">
      <c r="A37" s="64" t="n">
        <v>30</v>
      </c>
      <c r="B37" s="65" t="inlineStr">
        <is>
          <t>Inventories</t>
        </is>
      </c>
      <c r="C37" s="66" t="inlineStr">
        <is>
          <t>QB BS → Current Assets → Inventory</t>
        </is>
      </c>
      <c r="D37" s="67" t="inlineStr">
        <is>
          <t>PBC – BS  B9</t>
        </is>
      </c>
      <c r="E37" s="62" t="inlineStr">
        <is>
          <t>PBC Input</t>
        </is>
      </c>
      <c r="F37" s="68" t="inlineStr">
        <is>
          <t>Sch L Ln 3.</t>
        </is>
      </c>
    </row>
    <row r="38" ht="27.75" customHeight="1" s="52">
      <c r="A38" s="58" t="n">
        <v>31</v>
      </c>
      <c r="B38" s="59" t="inlineStr">
        <is>
          <t>Prepaid Expenses</t>
        </is>
      </c>
      <c r="C38" s="60" t="inlineStr">
        <is>
          <t>QB BS → Current Assets → Prepaid</t>
        </is>
      </c>
      <c r="D38" s="61" t="inlineStr">
        <is>
          <t>PBC – BS  B10</t>
        </is>
      </c>
      <c r="E38" s="62" t="inlineStr">
        <is>
          <t>PBC Input</t>
        </is>
      </c>
      <c r="F38" s="63" t="inlineStr">
        <is>
          <t>Sch L Ln 6.</t>
        </is>
      </c>
    </row>
    <row r="39" ht="27.75" customHeight="1" s="52">
      <c r="A39" s="64" t="n">
        <v>32</v>
      </c>
      <c r="B39" s="65" t="inlineStr">
        <is>
          <t>Investments (Govt obligations)</t>
        </is>
      </c>
      <c r="C39" s="66" t="inlineStr">
        <is>
          <t>QB BS → Investments → US Govt</t>
        </is>
      </c>
      <c r="D39" s="67" t="inlineStr">
        <is>
          <t>PBC – BS  B11</t>
        </is>
      </c>
      <c r="E39" s="62" t="inlineStr">
        <is>
          <t>PBC Input</t>
        </is>
      </c>
      <c r="F39" s="68" t="inlineStr">
        <is>
          <t>Sch L Ln 5a.</t>
        </is>
      </c>
    </row>
    <row r="40" ht="27.75" customHeight="1" s="52">
      <c r="A40" s="58" t="n">
        <v>33</v>
      </c>
      <c r="B40" s="59" t="inlineStr">
        <is>
          <t>Other Current Assets</t>
        </is>
      </c>
      <c r="C40" s="60" t="inlineStr">
        <is>
          <t>QB BS → Current Assets → Other</t>
        </is>
      </c>
      <c r="D40" s="61" t="inlineStr">
        <is>
          <t>PBC – BS  B12</t>
        </is>
      </c>
      <c r="E40" s="62" t="inlineStr">
        <is>
          <t>PBC Input</t>
        </is>
      </c>
      <c r="F40" s="63" t="inlineStr">
        <is>
          <t>Sch L Ln 6.</t>
        </is>
      </c>
    </row>
    <row r="41" ht="27.75" customHeight="1" s="52">
      <c r="A41" s="64" t="n">
        <v>34</v>
      </c>
      <c r="B41" s="65" t="inlineStr">
        <is>
          <t>Land</t>
        </is>
      </c>
      <c r="C41" s="66" t="inlineStr">
        <is>
          <t>QB BS → Fixed Assets → Land</t>
        </is>
      </c>
      <c r="D41" s="67" t="inlineStr">
        <is>
          <t>PBC – BS  B13</t>
        </is>
      </c>
      <c r="E41" s="62" t="inlineStr">
        <is>
          <t>PBC Input</t>
        </is>
      </c>
      <c r="F41" s="68" t="inlineStr">
        <is>
          <t>Sch L Ln 12.</t>
        </is>
      </c>
    </row>
    <row r="42" ht="27.75" customHeight="1" s="52">
      <c r="A42" s="58" t="n">
        <v>35</v>
      </c>
      <c r="B42" s="59" t="inlineStr">
        <is>
          <t>Buildings / Depreciable Assets</t>
        </is>
      </c>
      <c r="C42" s="60" t="inlineStr">
        <is>
          <t>QB BS → Fixed Assets → Buildings + Equipment</t>
        </is>
      </c>
      <c r="D42" s="61" t="inlineStr">
        <is>
          <t>PBC – BS  B14-15</t>
        </is>
      </c>
      <c r="E42" s="62" t="inlineStr">
        <is>
          <t>PBC Input</t>
        </is>
      </c>
      <c r="F42" s="63" t="inlineStr">
        <is>
          <t>Sch L Ln 10a — gross cost.</t>
        </is>
      </c>
    </row>
    <row r="43" ht="27.75" customHeight="1" s="52">
      <c r="A43" s="64" t="n">
        <v>36</v>
      </c>
      <c r="B43" s="65" t="inlineStr">
        <is>
          <t>Accumulated Depreciation</t>
        </is>
      </c>
      <c r="C43" s="66" t="inlineStr">
        <is>
          <t>QB BS → Fixed Assets → Accum Depr</t>
        </is>
      </c>
      <c r="D43" s="67" t="inlineStr">
        <is>
          <t>PBC – BS  B16</t>
        </is>
      </c>
      <c r="E43" s="62" t="inlineStr">
        <is>
          <t>PBC Input</t>
        </is>
      </c>
      <c r="F43" s="68" t="inlineStr">
        <is>
          <t>Enter as negative. Sch L Ln 10b.</t>
        </is>
      </c>
    </row>
    <row r="44" ht="27.75" customHeight="1" s="52">
      <c r="A44" s="58" t="n">
        <v>37</v>
      </c>
      <c r="B44" s="59" t="inlineStr">
        <is>
          <t>Intangible Assets</t>
        </is>
      </c>
      <c r="C44" s="60" t="inlineStr">
        <is>
          <t>QB BS → Intangibles (gross)</t>
        </is>
      </c>
      <c r="D44" s="61" t="inlineStr">
        <is>
          <t>PBC – BS  B17</t>
        </is>
      </c>
      <c r="E44" s="62" t="inlineStr">
        <is>
          <t>PBC Input</t>
        </is>
      </c>
      <c r="F44" s="63" t="inlineStr">
        <is>
          <t>Sch L Ln 13a.</t>
        </is>
      </c>
    </row>
    <row r="45" ht="27.75" customHeight="1" s="52">
      <c r="A45" s="64" t="n">
        <v>38</v>
      </c>
      <c r="B45" s="65" t="inlineStr">
        <is>
          <t>Accumulated Amortization</t>
        </is>
      </c>
      <c r="C45" s="66" t="inlineStr">
        <is>
          <t>QB BS → Intangibles → Accum Amort</t>
        </is>
      </c>
      <c r="D45" s="67" t="inlineStr">
        <is>
          <t>PBC – BS  B18</t>
        </is>
      </c>
      <c r="E45" s="62" t="inlineStr">
        <is>
          <t>PBC Input</t>
        </is>
      </c>
      <c r="F45" s="68" t="inlineStr">
        <is>
          <t>Enter as negative. Sch L Ln 13b.</t>
        </is>
      </c>
    </row>
    <row r="46" ht="27.75" customHeight="1" s="52">
      <c r="A46" s="58" t="n">
        <v>39</v>
      </c>
      <c r="B46" s="59" t="inlineStr">
        <is>
          <t>Other Assets</t>
        </is>
      </c>
      <c r="C46" s="60" t="inlineStr">
        <is>
          <t>QB BS → Other Assets</t>
        </is>
      </c>
      <c r="D46" s="61" t="inlineStr">
        <is>
          <t>PBC – BS  B19</t>
        </is>
      </c>
      <c r="E46" s="62" t="inlineStr">
        <is>
          <t>PBC Input</t>
        </is>
      </c>
      <c r="F46" s="63" t="inlineStr">
        <is>
          <t>Sch L Ln 14.</t>
        </is>
      </c>
    </row>
    <row r="47" ht="27.75" customHeight="1" s="52">
      <c r="A47" s="64" t="n">
        <v>40</v>
      </c>
      <c r="B47" s="65" t="inlineStr">
        <is>
          <t>Accounts Payable</t>
        </is>
      </c>
      <c r="C47" s="66" t="inlineStr">
        <is>
          <t>QB BS → Current Liabilities → AP</t>
        </is>
      </c>
      <c r="D47" s="67" t="inlineStr">
        <is>
          <t>PBC – BS  B23</t>
        </is>
      </c>
      <c r="E47" s="62" t="inlineStr">
        <is>
          <t>PBC Input</t>
        </is>
      </c>
      <c r="F47" s="68" t="inlineStr">
        <is>
          <t>Sch L Ln 16.</t>
        </is>
      </c>
    </row>
    <row r="48" ht="27.75" customHeight="1" s="52">
      <c r="A48" s="58" t="n">
        <v>41</v>
      </c>
      <c r="B48" s="59" t="inlineStr">
        <is>
          <t>Mortgages/Notes Payable (&lt;1 yr)</t>
        </is>
      </c>
      <c r="C48" s="60" t="inlineStr">
        <is>
          <t>QB BS → Current Liabilities → Notes Payable</t>
        </is>
      </c>
      <c r="D48" s="61" t="inlineStr">
        <is>
          <t>PBC – BS  B24</t>
        </is>
      </c>
      <c r="E48" s="62" t="inlineStr">
        <is>
          <t>PBC Input</t>
        </is>
      </c>
      <c r="F48" s="63" t="inlineStr">
        <is>
          <t>Sch L Ln 17.</t>
        </is>
      </c>
    </row>
    <row r="49" ht="27.75" customHeight="1" s="52">
      <c r="A49" s="64" t="n">
        <v>42</v>
      </c>
      <c r="B49" s="65" t="inlineStr">
        <is>
          <t>Other Current Liabilities</t>
        </is>
      </c>
      <c r="C49" s="66" t="inlineStr">
        <is>
          <t>QB BS → Current Liabilities → Other</t>
        </is>
      </c>
      <c r="D49" s="67" t="inlineStr">
        <is>
          <t>PBC – BS  B25</t>
        </is>
      </c>
      <c r="E49" s="62" t="inlineStr">
        <is>
          <t>PBC Input</t>
        </is>
      </c>
      <c r="F49" s="68" t="inlineStr">
        <is>
          <t>Sch L Ln 18.</t>
        </is>
      </c>
    </row>
    <row r="50" ht="27.75" customHeight="1" s="52">
      <c r="A50" s="58" t="n">
        <v>43</v>
      </c>
      <c r="B50" s="59" t="inlineStr">
        <is>
          <t>Loans from Shareholders</t>
        </is>
      </c>
      <c r="C50" s="60" t="inlineStr">
        <is>
          <t>QB BS → Shareholder Loans Payable</t>
        </is>
      </c>
      <c r="D50" s="61" t="inlineStr">
        <is>
          <t>PBC – BS  B26</t>
        </is>
      </c>
      <c r="E50" s="62" t="inlineStr">
        <is>
          <t>PBC Input</t>
        </is>
      </c>
      <c r="F50" s="63" t="inlineStr">
        <is>
          <t>Sch L Ln 19 — document with promissory note.</t>
        </is>
      </c>
    </row>
    <row r="51" ht="27.75" customHeight="1" s="52">
      <c r="A51" s="64" t="n">
        <v>44</v>
      </c>
      <c r="B51" s="65" t="inlineStr">
        <is>
          <t>Mortgages/Notes Payable (≥1 yr)</t>
        </is>
      </c>
      <c r="C51" s="66" t="inlineStr">
        <is>
          <t>QB BS → Long-Term Liabilities → LT Notes</t>
        </is>
      </c>
      <c r="D51" s="67" t="inlineStr">
        <is>
          <t>PBC – BS  B27</t>
        </is>
      </c>
      <c r="E51" s="62" t="inlineStr">
        <is>
          <t>PBC Input</t>
        </is>
      </c>
      <c r="F51" s="68" t="inlineStr">
        <is>
          <t>Sch L Ln 20.</t>
        </is>
      </c>
    </row>
    <row r="52" ht="27.75" customHeight="1" s="52">
      <c r="A52" s="58" t="n">
        <v>45</v>
      </c>
      <c r="B52" s="59" t="inlineStr">
        <is>
          <t>Other Long-Term Liabilities</t>
        </is>
      </c>
      <c r="C52" s="60" t="inlineStr">
        <is>
          <t>QB BS → Long-Term Liabilities → Other</t>
        </is>
      </c>
      <c r="D52" s="61" t="inlineStr">
        <is>
          <t>PBC – BS  B28</t>
        </is>
      </c>
      <c r="E52" s="62" t="inlineStr">
        <is>
          <t>PBC Input</t>
        </is>
      </c>
      <c r="F52" s="63" t="inlineStr">
        <is>
          <t>Sch L Ln 21.</t>
        </is>
      </c>
    </row>
    <row r="53" ht="27.75" customHeight="1" s="52">
      <c r="A53" s="64" t="n">
        <v>46</v>
      </c>
      <c r="B53" s="65" t="inlineStr">
        <is>
          <t>Capital Stock</t>
        </is>
      </c>
      <c r="C53" s="66" t="inlineStr">
        <is>
          <t>QB BS → Equity → Common/Preferred Stock</t>
        </is>
      </c>
      <c r="D53" s="67" t="inlineStr">
        <is>
          <t>PBC – BS  B31</t>
        </is>
      </c>
      <c r="E53" s="62" t="inlineStr">
        <is>
          <t>PBC Input</t>
        </is>
      </c>
      <c r="F53" s="68" t="inlineStr">
        <is>
          <t>Sch L Ln 22.</t>
        </is>
      </c>
    </row>
    <row r="54" ht="27.75" customHeight="1" s="52">
      <c r="A54" s="58" t="n">
        <v>47</v>
      </c>
      <c r="B54" s="59" t="inlineStr">
        <is>
          <t>Additional Paid-In Capital</t>
        </is>
      </c>
      <c r="C54" s="60" t="inlineStr">
        <is>
          <t>QB BS → Equity → APIC</t>
        </is>
      </c>
      <c r="D54" s="61" t="inlineStr">
        <is>
          <t>PBC – BS  B32</t>
        </is>
      </c>
      <c r="E54" s="62" t="inlineStr">
        <is>
          <t>PBC Input</t>
        </is>
      </c>
      <c r="F54" s="63" t="inlineStr">
        <is>
          <t>Sch L Ln 23.</t>
        </is>
      </c>
    </row>
    <row r="55" ht="27.75" customHeight="1" s="52">
      <c r="A55" s="64" t="n">
        <v>48</v>
      </c>
      <c r="B55" s="65" t="inlineStr">
        <is>
          <t>Retained Earnings — Prior Years</t>
        </is>
      </c>
      <c r="C55" s="66" t="inlineStr">
        <is>
          <t>QB BS → Equity → Retained Earnings (Beg)</t>
        </is>
      </c>
      <c r="D55" s="67" t="inlineStr">
        <is>
          <t>PBC – BS  B33</t>
        </is>
      </c>
      <c r="E55" s="62" t="inlineStr">
        <is>
          <t>PBC Input</t>
        </is>
      </c>
      <c r="F55" s="68" t="inlineStr">
        <is>
          <t>Sch L Ln 25 (part).</t>
        </is>
      </c>
    </row>
    <row r="56" ht="27.75" customHeight="1" s="52">
      <c r="A56" s="58" t="n">
        <v>49</v>
      </c>
      <c r="B56" s="59" t="inlineStr">
        <is>
          <t>Retained Earnings — Current Year</t>
        </is>
      </c>
      <c r="C56" s="60" t="inlineStr">
        <is>
          <t>QB BS → Equity → Current Year Net Income</t>
        </is>
      </c>
      <c r="D56" s="61" t="inlineStr">
        <is>
          <t>PBC – BS  B34</t>
        </is>
      </c>
      <c r="E56" s="62" t="inlineStr">
        <is>
          <t>PBC Input</t>
        </is>
      </c>
      <c r="F56" s="63" t="inlineStr">
        <is>
          <t>Must match net income on P&amp;L tab.</t>
        </is>
      </c>
    </row>
    <row r="57" ht="27.75" customHeight="1" s="52">
      <c r="A57" s="64" t="n">
        <v>50</v>
      </c>
      <c r="B57" s="65" t="inlineStr">
        <is>
          <t>Treasury Stock</t>
        </is>
      </c>
      <c r="C57" s="66" t="inlineStr">
        <is>
          <t>QB BS → Equity → Treasury Stock</t>
        </is>
      </c>
      <c r="D57" s="67" t="inlineStr">
        <is>
          <t>PBC – BS  B35</t>
        </is>
      </c>
      <c r="E57" s="62" t="inlineStr">
        <is>
          <t>PBC Input</t>
        </is>
      </c>
      <c r="F57" s="68" t="inlineStr">
        <is>
          <t>Enter as negative. Sch L Ln 27.</t>
        </is>
      </c>
    </row>
    <row r="58" ht="21.75" customHeight="1" s="52">
      <c r="A58" s="57" t="inlineStr">
        <is>
          <t xml:space="preserve">  STEP 3 — SCHEDULE L TAB: Enter Prior-Year Ending Balance Sheet (BOY Column)    ↳ ⚠ All RED cells. Source: Prior-year 1120, Schedule L, Column (c)/(d) (ENDING amounts). Enter once — stays constant all year.</t>
        </is>
      </c>
    </row>
    <row r="59" ht="27.75" customHeight="1" s="52">
      <c r="A59" s="58" t="n">
        <v>51</v>
      </c>
      <c r="B59" s="59" t="inlineStr">
        <is>
          <t>Cash — BOY</t>
        </is>
      </c>
      <c r="C59" s="60" t="inlineStr">
        <is>
          <t>PY 1120 → Sch L → Ln 1, Col (d)</t>
        </is>
      </c>
      <c r="D59" s="61" t="inlineStr">
        <is>
          <t>Sch L  C6</t>
        </is>
      </c>
      <c r="E59" s="69" t="inlineStr">
        <is>
          <t>Prior Year</t>
        </is>
      </c>
      <c r="F59" s="63" t="inlineStr">
        <is>
          <t>PY ending = CY beginning.</t>
        </is>
      </c>
    </row>
    <row r="60" ht="27.75" customHeight="1" s="52">
      <c r="A60" s="64" t="n">
        <v>52</v>
      </c>
      <c r="B60" s="65" t="inlineStr">
        <is>
          <t>Accounts Receivable (gross) — BOY</t>
        </is>
      </c>
      <c r="C60" s="66" t="inlineStr">
        <is>
          <t>PY 1120 → Sch L → Ln 2a, Col (c)</t>
        </is>
      </c>
      <c r="D60" s="67" t="inlineStr">
        <is>
          <t>Sch L  C7</t>
        </is>
      </c>
      <c r="E60" s="69" t="inlineStr">
        <is>
          <t>Prior Year</t>
        </is>
      </c>
      <c r="F60" s="68" t="n"/>
    </row>
    <row r="61" ht="27.75" customHeight="1" s="52">
      <c r="A61" s="58" t="n">
        <v>53</v>
      </c>
      <c r="B61" s="59" t="inlineStr">
        <is>
          <t>Allowance for Bad Debts — BOY</t>
        </is>
      </c>
      <c r="C61" s="60" t="inlineStr">
        <is>
          <t>PY 1120 → Sch L → Ln 2b, Col (c)</t>
        </is>
      </c>
      <c r="D61" s="61" t="inlineStr">
        <is>
          <t>Sch L  C8</t>
        </is>
      </c>
      <c r="E61" s="69" t="inlineStr">
        <is>
          <t>Prior Year</t>
        </is>
      </c>
      <c r="F61" s="63" t="inlineStr">
        <is>
          <t>Enter as negative.</t>
        </is>
      </c>
    </row>
    <row r="62" ht="27.75" customHeight="1" s="52">
      <c r="A62" s="64" t="n">
        <v>54</v>
      </c>
      <c r="B62" s="65" t="inlineStr">
        <is>
          <t>Inventories — BOY</t>
        </is>
      </c>
      <c r="C62" s="66" t="inlineStr">
        <is>
          <t>PY 1120 → Sch L → Ln 3, Col (d)</t>
        </is>
      </c>
      <c r="D62" s="67" t="inlineStr">
        <is>
          <t>Sch L  C9</t>
        </is>
      </c>
      <c r="E62" s="69" t="inlineStr">
        <is>
          <t>Prior Year</t>
        </is>
      </c>
      <c r="F62" s="68" t="n"/>
    </row>
    <row r="63" ht="27.75" customHeight="1" s="52">
      <c r="A63" s="58" t="n">
        <v>55</v>
      </c>
      <c r="B63" s="59" t="inlineStr">
        <is>
          <t>Tax-Exempt Securities — BOY</t>
        </is>
      </c>
      <c r="C63" s="60" t="inlineStr">
        <is>
          <t>PY 1120 → Sch L → Ln 5a, Col (d)</t>
        </is>
      </c>
      <c r="D63" s="61" t="inlineStr">
        <is>
          <t>Sch L  C11</t>
        </is>
      </c>
      <c r="E63" s="69" t="inlineStr">
        <is>
          <t>Prior Year</t>
        </is>
      </c>
      <c r="F63" s="63" t="n"/>
    </row>
    <row r="64" ht="27.75" customHeight="1" s="52">
      <c r="A64" s="64" t="n">
        <v>56</v>
      </c>
      <c r="B64" s="65" t="inlineStr">
        <is>
          <t>Other Current Assets — BOY</t>
        </is>
      </c>
      <c r="C64" s="66" t="inlineStr">
        <is>
          <t>PY 1120 → Sch L → Ln 6, Col (d)</t>
        </is>
      </c>
      <c r="D64" s="67" t="inlineStr">
        <is>
          <t>Sch L  C12</t>
        </is>
      </c>
      <c r="E64" s="69" t="inlineStr">
        <is>
          <t>Prior Year</t>
        </is>
      </c>
      <c r="F64" s="68" t="n"/>
    </row>
    <row r="65" ht="27.75" customHeight="1" s="52">
      <c r="A65" s="58" t="n">
        <v>57</v>
      </c>
      <c r="B65" s="59" t="inlineStr">
        <is>
          <t>Other Investments — BOY</t>
        </is>
      </c>
      <c r="C65" s="60" t="inlineStr">
        <is>
          <t>PY 1120 → Sch L → Ln 9, Col (d)</t>
        </is>
      </c>
      <c r="D65" s="61" t="inlineStr">
        <is>
          <t>Sch L  C15</t>
        </is>
      </c>
      <c r="E65" s="69" t="inlineStr">
        <is>
          <t>Prior Year</t>
        </is>
      </c>
      <c r="F65" s="63" t="n"/>
    </row>
    <row r="66" ht="27.75" customHeight="1" s="52">
      <c r="A66" s="64" t="n">
        <v>58</v>
      </c>
      <c r="B66" s="65" t="inlineStr">
        <is>
          <t>Depreciable Assets (cost) — BOY</t>
        </is>
      </c>
      <c r="C66" s="66" t="inlineStr">
        <is>
          <t>PY 1120 → Sch L → Ln 10a, Col (c)</t>
        </is>
      </c>
      <c r="D66" s="67" t="inlineStr">
        <is>
          <t>Sch L  C16</t>
        </is>
      </c>
      <c r="E66" s="69" t="inlineStr">
        <is>
          <t>Prior Year</t>
        </is>
      </c>
      <c r="F66" s="68" t="inlineStr">
        <is>
          <t>Gross cost — before accumulated depr.</t>
        </is>
      </c>
    </row>
    <row r="67" ht="27.75" customHeight="1" s="52">
      <c r="A67" s="58" t="n">
        <v>59</v>
      </c>
      <c r="B67" s="59" t="inlineStr">
        <is>
          <t>Accum Depreciation — BOY</t>
        </is>
      </c>
      <c r="C67" s="60" t="inlineStr">
        <is>
          <t>PY 1120 → Sch L → Ln 10b, Col (c)</t>
        </is>
      </c>
      <c r="D67" s="61" t="inlineStr">
        <is>
          <t>Sch L  C17</t>
        </is>
      </c>
      <c r="E67" s="69" t="inlineStr">
        <is>
          <t>Prior Year</t>
        </is>
      </c>
      <c r="F67" s="63" t="inlineStr">
        <is>
          <t>Enter as negative.</t>
        </is>
      </c>
    </row>
    <row r="68" ht="27.75" customHeight="1" s="52">
      <c r="A68" s="64" t="n">
        <v>60</v>
      </c>
      <c r="B68" s="65" t="inlineStr">
        <is>
          <t>Land — BOY</t>
        </is>
      </c>
      <c r="C68" s="66" t="inlineStr">
        <is>
          <t>PY 1120 → Sch L → Ln 12, Col (d)</t>
        </is>
      </c>
      <c r="D68" s="67" t="inlineStr">
        <is>
          <t>Sch L  C20</t>
        </is>
      </c>
      <c r="E68" s="69" t="inlineStr">
        <is>
          <t>Prior Year</t>
        </is>
      </c>
      <c r="F68" s="68" t="n"/>
    </row>
    <row r="69" ht="27.75" customHeight="1" s="52">
      <c r="A69" s="58" t="n">
        <v>61</v>
      </c>
      <c r="B69" s="59" t="inlineStr">
        <is>
          <t>Intangible Assets — BOY</t>
        </is>
      </c>
      <c r="C69" s="60" t="inlineStr">
        <is>
          <t>PY 1120 → Sch L → Ln 13a, Col (c)</t>
        </is>
      </c>
      <c r="D69" s="61" t="inlineStr">
        <is>
          <t>Sch L  C21</t>
        </is>
      </c>
      <c r="E69" s="69" t="inlineStr">
        <is>
          <t>Prior Year</t>
        </is>
      </c>
      <c r="F69" s="63" t="n"/>
    </row>
    <row r="70" ht="27.75" customHeight="1" s="52">
      <c r="A70" s="64" t="n">
        <v>62</v>
      </c>
      <c r="B70" s="65" t="inlineStr">
        <is>
          <t>Accum Amortization — BOY</t>
        </is>
      </c>
      <c r="C70" s="66" t="inlineStr">
        <is>
          <t>PY 1120 → Sch L → Ln 13b, Col (c)</t>
        </is>
      </c>
      <c r="D70" s="67" t="inlineStr">
        <is>
          <t>Sch L  C22</t>
        </is>
      </c>
      <c r="E70" s="69" t="inlineStr">
        <is>
          <t>Prior Year</t>
        </is>
      </c>
      <c r="F70" s="68" t="inlineStr">
        <is>
          <t>Enter as negative.</t>
        </is>
      </c>
    </row>
    <row r="71" ht="27.75" customHeight="1" s="52">
      <c r="A71" s="58" t="n">
        <v>63</v>
      </c>
      <c r="B71" s="59" t="inlineStr">
        <is>
          <t>Other Assets — BOY</t>
        </is>
      </c>
      <c r="C71" s="60" t="inlineStr">
        <is>
          <t>PY 1120 → Sch L → Ln 14, Col (d)</t>
        </is>
      </c>
      <c r="D71" s="61" t="inlineStr">
        <is>
          <t>Sch L  C23</t>
        </is>
      </c>
      <c r="E71" s="69" t="inlineStr">
        <is>
          <t>Prior Year</t>
        </is>
      </c>
      <c r="F71" s="63" t="n"/>
    </row>
    <row r="72" ht="27.75" customHeight="1" s="52">
      <c r="A72" s="64" t="n">
        <v>64</v>
      </c>
      <c r="B72" s="65" t="inlineStr">
        <is>
          <t>Accounts Payable — BOY</t>
        </is>
      </c>
      <c r="C72" s="66" t="inlineStr">
        <is>
          <t>PY 1120 → Sch L → Ln 16, Col (d)</t>
        </is>
      </c>
      <c r="D72" s="67" t="inlineStr">
        <is>
          <t>Sch L  C26</t>
        </is>
      </c>
      <c r="E72" s="69" t="inlineStr">
        <is>
          <t>Prior Year</t>
        </is>
      </c>
      <c r="F72" s="68" t="n"/>
    </row>
    <row r="73" ht="27.75" customHeight="1" s="52">
      <c r="A73" s="58" t="n">
        <v>65</v>
      </c>
      <c r="B73" s="59" t="inlineStr">
        <is>
          <t>Mortgages/Notes (&lt;1 yr) — BOY</t>
        </is>
      </c>
      <c r="C73" s="60" t="inlineStr">
        <is>
          <t>PY 1120 → Sch L → Ln 17, Col (d)</t>
        </is>
      </c>
      <c r="D73" s="61" t="inlineStr">
        <is>
          <t>Sch L  C27</t>
        </is>
      </c>
      <c r="E73" s="69" t="inlineStr">
        <is>
          <t>Prior Year</t>
        </is>
      </c>
      <c r="F73" s="63" t="n"/>
    </row>
    <row r="74" ht="27.75" customHeight="1" s="52">
      <c r="A74" s="64" t="n">
        <v>66</v>
      </c>
      <c r="B74" s="65" t="inlineStr">
        <is>
          <t>Other Current Liabilities — BOY</t>
        </is>
      </c>
      <c r="C74" s="66" t="inlineStr">
        <is>
          <t>PY 1120 → Sch L → Ln 18, Col (d)</t>
        </is>
      </c>
      <c r="D74" s="67" t="inlineStr">
        <is>
          <t>Sch L  C28</t>
        </is>
      </c>
      <c r="E74" s="69" t="inlineStr">
        <is>
          <t>Prior Year</t>
        </is>
      </c>
      <c r="F74" s="68" t="n"/>
    </row>
    <row r="75" ht="27.75" customHeight="1" s="52">
      <c r="A75" s="58" t="n">
        <v>67</v>
      </c>
      <c r="B75" s="59" t="inlineStr">
        <is>
          <t>Loans from Shareholders — BOY</t>
        </is>
      </c>
      <c r="C75" s="60" t="inlineStr">
        <is>
          <t>PY 1120 → Sch L → Ln 19, Col (d)</t>
        </is>
      </c>
      <c r="D75" s="61" t="inlineStr">
        <is>
          <t>Sch L  C29</t>
        </is>
      </c>
      <c r="E75" s="69" t="inlineStr">
        <is>
          <t>Prior Year</t>
        </is>
      </c>
      <c r="F75" s="63" t="n"/>
    </row>
    <row r="76" ht="27.75" customHeight="1" s="52">
      <c r="A76" s="64" t="n">
        <v>68</v>
      </c>
      <c r="B76" s="65" t="inlineStr">
        <is>
          <t>Mortgages/Notes (≥1 yr) — BOY</t>
        </is>
      </c>
      <c r="C76" s="66" t="inlineStr">
        <is>
          <t>PY 1120 → Sch L → Ln 20, Col (d)</t>
        </is>
      </c>
      <c r="D76" s="67" t="inlineStr">
        <is>
          <t>Sch L  C30</t>
        </is>
      </c>
      <c r="E76" s="69" t="inlineStr">
        <is>
          <t>Prior Year</t>
        </is>
      </c>
      <c r="F76" s="68" t="n"/>
    </row>
    <row r="77" ht="27.75" customHeight="1" s="52">
      <c r="A77" s="58" t="n">
        <v>69</v>
      </c>
      <c r="B77" s="59" t="inlineStr">
        <is>
          <t>Other Liabilities — BOY</t>
        </is>
      </c>
      <c r="C77" s="60" t="inlineStr">
        <is>
          <t>PY 1120 → Sch L → Ln 21, Col (d)</t>
        </is>
      </c>
      <c r="D77" s="61" t="inlineStr">
        <is>
          <t>Sch L  C31</t>
        </is>
      </c>
      <c r="E77" s="69" t="inlineStr">
        <is>
          <t>Prior Year</t>
        </is>
      </c>
      <c r="F77" s="63" t="n"/>
    </row>
    <row r="78" ht="27.75" customHeight="1" s="52">
      <c r="A78" s="64" t="n">
        <v>70</v>
      </c>
      <c r="B78" s="65" t="inlineStr">
        <is>
          <t>Capital Stock — BOY</t>
        </is>
      </c>
      <c r="C78" s="66" t="inlineStr">
        <is>
          <t>PY 1120 → Sch L → Ln 22, Col (d)</t>
        </is>
      </c>
      <c r="D78" s="67" t="inlineStr">
        <is>
          <t>Sch L  C32</t>
        </is>
      </c>
      <c r="E78" s="69" t="inlineStr">
        <is>
          <t>Prior Year</t>
        </is>
      </c>
      <c r="F78" s="68" t="n"/>
    </row>
    <row r="79" ht="27.75" customHeight="1" s="52">
      <c r="A79" s="58" t="n">
        <v>71</v>
      </c>
      <c r="B79" s="59" t="inlineStr">
        <is>
          <t>APIC — BOY</t>
        </is>
      </c>
      <c r="C79" s="60" t="inlineStr">
        <is>
          <t>PY 1120 → Sch L → Ln 23, Col (d)</t>
        </is>
      </c>
      <c r="D79" s="61" t="inlineStr">
        <is>
          <t>Sch L  C33</t>
        </is>
      </c>
      <c r="E79" s="69" t="inlineStr">
        <is>
          <t>Prior Year</t>
        </is>
      </c>
      <c r="F79" s="63" t="n"/>
    </row>
    <row r="80" ht="27.75" customHeight="1" s="52">
      <c r="A80" s="64" t="n">
        <v>72</v>
      </c>
      <c r="B80" s="65" t="inlineStr">
        <is>
          <t>Retained Earnings (unapp.) — BOY</t>
        </is>
      </c>
      <c r="C80" s="66" t="inlineStr">
        <is>
          <t>PY 1120 → Sch L → Ln 25, Col (d)</t>
        </is>
      </c>
      <c r="D80" s="67" t="inlineStr">
        <is>
          <t>Sch L  C35</t>
        </is>
      </c>
      <c r="E80" s="69" t="inlineStr">
        <is>
          <t>Prior Year</t>
        </is>
      </c>
      <c r="F80" s="68" t="inlineStr">
        <is>
          <t>Must tie to M-2 Ln 1. Most common error source.</t>
        </is>
      </c>
    </row>
    <row r="81" ht="27.75" customHeight="1" s="52">
      <c r="A81" s="58" t="n">
        <v>73</v>
      </c>
      <c r="B81" s="59" t="inlineStr">
        <is>
          <t>Treasury Stock — BOY</t>
        </is>
      </c>
      <c r="C81" s="60" t="inlineStr">
        <is>
          <t>PY 1120 → Sch L → Ln 27, Col (d)</t>
        </is>
      </c>
      <c r="D81" s="61" t="inlineStr">
        <is>
          <t>Sch L  C37</t>
        </is>
      </c>
      <c r="E81" s="69" t="inlineStr">
        <is>
          <t>Prior Year</t>
        </is>
      </c>
      <c r="F81" s="63" t="inlineStr">
        <is>
          <t>Enter as negative.</t>
        </is>
      </c>
    </row>
    <row r="82" ht="21.75" customHeight="1" s="52">
      <c r="A82" s="57" t="inlineStr">
        <is>
          <t xml:space="preserve">  STEP 4 — SCHEDULE M-2 TAB: Beginning Retained Earnings    ↳ ⚠ RED cell. Must equal PY Sch L Ln 25 ending (Step 3, item 72 above). If numbers differ, resolve before filing.</t>
        </is>
      </c>
    </row>
    <row r="83" ht="27.75" customHeight="1" s="52">
      <c r="A83" s="58" t="n">
        <v>74</v>
      </c>
      <c r="B83" s="59" t="inlineStr">
        <is>
          <t>Beginning RE Balance (M-2 Ln 1)</t>
        </is>
      </c>
      <c r="C83" s="60" t="inlineStr">
        <is>
          <t>PY 1120 → M-2 → Ln 8 (Ending Balance)  OR  PY Sch L Ln 25(d)</t>
        </is>
      </c>
      <c r="D83" s="61" t="inlineStr">
        <is>
          <t>M-2  C5</t>
        </is>
      </c>
      <c r="E83" s="69" t="inlineStr">
        <is>
          <t>Prior Year</t>
        </is>
      </c>
      <c r="F83" s="63" t="inlineStr">
        <is>
          <t>⚠ This MUST equal item 72 above (Sch L Ln 25 BOY). If they differ, find the reconciling item.</t>
        </is>
      </c>
    </row>
    <row r="84" ht="27.75" customHeight="1" s="52">
      <c r="A84" s="64" t="n">
        <v>75</v>
      </c>
      <c r="B84" s="65" t="inlineStr">
        <is>
          <t>Other Increases (M-2 Ln 3)</t>
        </is>
      </c>
      <c r="C84" s="66" t="inlineStr">
        <is>
          <t>Board minutes / accounting records</t>
        </is>
      </c>
      <c r="D84" s="67" t="inlineStr">
        <is>
          <t>M-2  C7</t>
        </is>
      </c>
      <c r="E84" s="62" t="inlineStr">
        <is>
          <t>PBC Input</t>
        </is>
      </c>
      <c r="F84" s="68" t="inlineStr">
        <is>
          <t>Capital contributions, restated income, etc. Leave $0 if none.</t>
        </is>
      </c>
    </row>
    <row r="85" ht="27.75" customHeight="1" s="52">
      <c r="A85" s="58" t="n">
        <v>76</v>
      </c>
      <c r="B85" s="59" t="inlineStr">
        <is>
          <t>Cash Dividends Paid (M-2 Ln 5a)</t>
        </is>
      </c>
      <c r="C85" s="60" t="inlineStr">
        <is>
          <t>Board minutes + bank records</t>
        </is>
      </c>
      <c r="D85" s="61" t="inlineStr">
        <is>
          <t>M-2  C9</t>
        </is>
      </c>
      <c r="E85" s="62" t="inlineStr">
        <is>
          <t>PBC Input</t>
        </is>
      </c>
      <c r="F85" s="63" t="inlineStr">
        <is>
          <t>Declared and paid cash dividends to shareholders.</t>
        </is>
      </c>
    </row>
    <row r="86" ht="27.75" customHeight="1" s="52">
      <c r="A86" s="64" t="n">
        <v>77</v>
      </c>
      <c r="B86" s="65" t="inlineStr">
        <is>
          <t>Stock Dividends (M-2 Ln 5b)</t>
        </is>
      </c>
      <c r="C86" s="66" t="inlineStr">
        <is>
          <t>Board resolution</t>
        </is>
      </c>
      <c r="D86" s="67" t="inlineStr">
        <is>
          <t>M-2  C10</t>
        </is>
      </c>
      <c r="E86" s="62" t="inlineStr">
        <is>
          <t>PBC Input</t>
        </is>
      </c>
      <c r="F86" s="68" t="inlineStr">
        <is>
          <t>$0 if no stock dividends declared.</t>
        </is>
      </c>
    </row>
    <row r="87" ht="27.75" customHeight="1" s="52">
      <c r="A87" s="58" t="n">
        <v>78</v>
      </c>
      <c r="B87" s="59" t="inlineStr">
        <is>
          <t>Property Distributions (M-2 Ln 5c)</t>
        </is>
      </c>
      <c r="C87" s="60" t="inlineStr">
        <is>
          <t>FMV of property distributed per board res.</t>
        </is>
      </c>
      <c r="D87" s="61" t="inlineStr">
        <is>
          <t>M-2  C11</t>
        </is>
      </c>
      <c r="E87" s="62" t="inlineStr">
        <is>
          <t>PBC Input</t>
        </is>
      </c>
      <c r="F87" s="63" t="inlineStr">
        <is>
          <t>Use FMV at distribution date.</t>
        </is>
      </c>
    </row>
    <row r="88" ht="27.75" customHeight="1" s="52">
      <c r="A88" s="64" t="n">
        <v>79</v>
      </c>
      <c r="B88" s="65" t="inlineStr">
        <is>
          <t>Other Decreases (M-2 Ln 6)</t>
        </is>
      </c>
      <c r="C88" s="66" t="inlineStr">
        <is>
          <t>Accounting records</t>
        </is>
      </c>
      <c r="D88" s="67" t="inlineStr">
        <is>
          <t>M-2  C12</t>
        </is>
      </c>
      <c r="E88" s="62" t="inlineStr">
        <is>
          <t>PBC Input</t>
        </is>
      </c>
      <c r="F88" s="68" t="inlineStr">
        <is>
          <t>Prior-period adjustments, error corrections, etc.</t>
        </is>
      </c>
    </row>
    <row r="89" ht="21.75" customHeight="1" s="52">
      <c r="A89" s="57" t="inlineStr">
        <is>
          <t xml:space="preserve">  STEP 5 — SCHEDULE J TAB: Tax Computation Inputs    ↳ Tax rate (21%) and Pg 1 Ln 30 pull automatically. Only enter credits and payments below.</t>
        </is>
      </c>
    </row>
    <row r="90" ht="27.75" customHeight="1" s="52">
      <c r="A90" s="58" t="n">
        <v>80</v>
      </c>
      <c r="B90" s="59" t="inlineStr">
        <is>
          <t>Federal Income Tax Accrued on Books</t>
        </is>
      </c>
      <c r="C90" s="60" t="inlineStr">
        <is>
          <t>Client GL → Tax Provision / Income Tax Payable accrual</t>
        </is>
      </c>
      <c r="D90" s="61" t="inlineStr">
        <is>
          <t>M-1 Ln 2</t>
        </is>
      </c>
      <c r="E90" s="62" t="inlineStr">
        <is>
          <t>PBC Input</t>
        </is>
      </c>
      <c r="F90" s="63" t="inlineStr">
        <is>
          <t>This is the BOOK tax expense. Goes to M-1 Ln 2 as an addback. NOT the actual tax owed.</t>
        </is>
      </c>
    </row>
    <row r="91" ht="27.75" customHeight="1" s="52">
      <c r="A91" s="64" t="n">
        <v>81</v>
      </c>
      <c r="B91" s="65" t="inlineStr">
        <is>
          <t>Estimated Tax Payments Made</t>
        </is>
      </c>
      <c r="C91" s="66" t="inlineStr">
        <is>
          <t>1120-W vouchers  OR  bank statements (Q1–Q4 payments)</t>
        </is>
      </c>
      <c r="D91" s="67" t="inlineStr">
        <is>
          <t>Sch J  C11 (payments)</t>
        </is>
      </c>
      <c r="E91" s="62" t="inlineStr">
        <is>
          <t>PBC Input</t>
        </is>
      </c>
      <c r="F91" s="68" t="inlineStr">
        <is>
          <t>Total of all 4 quarterly payments. Cross-check 1120-W.</t>
        </is>
      </c>
    </row>
    <row r="92" ht="27.75" customHeight="1" s="52">
      <c r="A92" s="58" t="n">
        <v>82</v>
      </c>
      <c r="B92" s="59" t="inlineStr">
        <is>
          <t>Prior-Year Overpayment Applied</t>
        </is>
      </c>
      <c r="C92" s="60" t="inlineStr">
        <is>
          <t>PY 1120 → check if overpayment was applied to CY</t>
        </is>
      </c>
      <c r="D92" s="61" t="inlineStr">
        <is>
          <t>Sch J  payments</t>
        </is>
      </c>
      <c r="E92" s="69" t="inlineStr">
        <is>
          <t>Prior Year</t>
        </is>
      </c>
      <c r="F92" s="63" t="inlineStr">
        <is>
          <t>$0 if prior-year refund was issued rather than applied forward.</t>
        </is>
      </c>
    </row>
    <row r="93" ht="27.75" customHeight="1" s="52">
      <c r="A93" s="64" t="n">
        <v>83</v>
      </c>
      <c r="B93" s="65" t="inlineStr">
        <is>
          <t>Foreign Tax Credit (Form 1118)</t>
        </is>
      </c>
      <c r="C93" s="66" t="inlineStr">
        <is>
          <t>Form 1118 Line 35</t>
        </is>
      </c>
      <c r="D93" s="67" t="inlineStr">
        <is>
          <t>Sch J  C8  (Ln 5a)</t>
        </is>
      </c>
      <c r="E93" s="62" t="inlineStr">
        <is>
          <t>PBC Input</t>
        </is>
      </c>
      <c r="F93" s="68" t="inlineStr">
        <is>
          <t>Only if corp paid foreign taxes. Requires separate 1118 prep.</t>
        </is>
      </c>
    </row>
    <row r="94" ht="27.75" customHeight="1" s="52">
      <c r="A94" s="58" t="n">
        <v>84</v>
      </c>
      <c r="B94" s="59" t="inlineStr">
        <is>
          <t>General Business Credit (Form 3800)</t>
        </is>
      </c>
      <c r="C94" s="60" t="inlineStr">
        <is>
          <t>Form 3800 Part II total</t>
        </is>
      </c>
      <c r="D94" s="61" t="inlineStr">
        <is>
          <t>Sch J  C9  (Ln 5b)</t>
        </is>
      </c>
      <c r="E94" s="62" t="inlineStr">
        <is>
          <t>PBC Input</t>
        </is>
      </c>
      <c r="F94" s="63" t="inlineStr">
        <is>
          <t>R&amp;D credit, work opportunity, energy credits, etc.</t>
        </is>
      </c>
    </row>
    <row r="95" ht="21.75" customHeight="1" s="52">
      <c r="A95" s="57" t="inlineStr">
        <is>
          <t xml:space="preserve">  STEP 6 — STRATEGY INPUTS TAB: Tax Adjustments &amp; Depreciation    ↳ Yellow cells only. Most PBC amounts auto-pull from prior tabs. Only enter items that differ from book or require a specific tax amount.</t>
        </is>
      </c>
    </row>
    <row r="96" ht="27.75" customHeight="1" s="52">
      <c r="A96" s="58" t="n">
        <v>85</v>
      </c>
      <c r="B96" s="59" t="inlineStr">
        <is>
          <t>Tax Depreciation — MACRS/Bonus</t>
        </is>
      </c>
      <c r="C96" s="60" t="inlineStr">
        <is>
          <t>Form 4562 → Part II / Part III total</t>
        </is>
      </c>
      <c r="D96" s="61" t="inlineStr">
        <is>
          <t>Strategy Inputs  C23 (Item 16)</t>
        </is>
      </c>
      <c r="E96" s="70" t="inlineStr">
        <is>
          <t>Strategy Input</t>
        </is>
      </c>
      <c r="F96" s="63" t="inlineStr">
        <is>
          <t>Total MACRS + bonus depr from 4562. Replaces all book depr. Confirm 4562 is prepared first.</t>
        </is>
      </c>
    </row>
    <row r="97" ht="27.75" customHeight="1" s="52">
      <c r="A97" s="64" t="n">
        <v>86</v>
      </c>
      <c r="B97" s="65" t="inlineStr">
        <is>
          <t>§179 Deduction</t>
        </is>
      </c>
      <c r="C97" s="66" t="inlineStr">
        <is>
          <t>Form 4562 → Part I, Line 12</t>
        </is>
      </c>
      <c r="D97" s="67" t="inlineStr">
        <is>
          <t>Strategy Inputs  C24 (Item 17)</t>
        </is>
      </c>
      <c r="E97" s="70" t="inlineStr">
        <is>
          <t>Strategy Input</t>
        </is>
      </c>
      <c r="F97" s="68" t="inlineStr">
        <is>
          <t>Subject to $1,160,000 limit (2023). Phase-out begins at $2,890,000 in property.</t>
        </is>
      </c>
    </row>
    <row r="98" ht="27.75" customHeight="1" s="52">
      <c r="A98" s="58" t="n">
        <v>87</v>
      </c>
      <c r="B98" s="59" t="inlineStr">
        <is>
          <t>Charitable Contributions Excess</t>
        </is>
      </c>
      <c r="C98" s="60" t="inlineStr">
        <is>
          <t>Computed: Book charitable − 10% of taxable income</t>
        </is>
      </c>
      <c r="D98" s="61" t="inlineStr">
        <is>
          <t>Strategy Inputs  C17 (Item 11)</t>
        </is>
      </c>
      <c r="E98" s="70" t="inlineStr">
        <is>
          <t>Strategy Input</t>
        </is>
      </c>
      <c r="F98" s="63" t="inlineStr">
        <is>
          <t>Enter the EXCESS only (amount above 10% limit). Carries forward 5 years.</t>
        </is>
      </c>
    </row>
    <row r="99" ht="27.75" customHeight="1" s="52">
      <c r="A99" s="64" t="n">
        <v>88</v>
      </c>
      <c r="B99" s="65" t="inlineStr">
        <is>
          <t>NOL Carryforward (Pg 1 Ln 29a)</t>
        </is>
      </c>
      <c r="C99" s="66" t="inlineStr">
        <is>
          <t>Prior-year returns → NOL schedule → available balance</t>
        </is>
      </c>
      <c r="D99" s="67" t="inlineStr">
        <is>
          <t>WTB  D85  (Ln 29a)</t>
        </is>
      </c>
      <c r="E99" s="70" t="inlineStr">
        <is>
          <t>Strategy Input</t>
        </is>
      </c>
      <c r="F99" s="68" t="inlineStr">
        <is>
          <t>Limited to 80% of taxable income (post-TCJA). Enter the LESSER of available NOL or 80% of Pg 1 Ln 28.</t>
        </is>
      </c>
    </row>
    <row r="100" ht="27.75" customHeight="1" s="52">
      <c r="A100" s="58" t="n">
        <v>89</v>
      </c>
      <c r="B100" s="59" t="inlineStr">
        <is>
          <t>Dividends Received Deduction (DRD)</t>
        </is>
      </c>
      <c r="C100" s="60" t="inlineStr">
        <is>
          <t>Schedule C computation → apply 50%/65%/100%</t>
        </is>
      </c>
      <c r="D100" s="61" t="inlineStr">
        <is>
          <t>WTB  D86  (Ln 29b)</t>
        </is>
      </c>
      <c r="E100" s="70" t="inlineStr">
        <is>
          <t>Strategy Input</t>
        </is>
      </c>
      <c r="F100" s="63" t="inlineStr">
        <is>
          <t>50% if &lt;20% ownership, 65% if 20–80%, 100% if &gt;80%. Complete Sch C first.</t>
        </is>
      </c>
    </row>
    <row r="101" ht="27.75" customHeight="1" s="52">
      <c r="A101" s="64" t="n">
        <v>90</v>
      </c>
      <c r="B101" s="65" t="inlineStr">
        <is>
          <t>Officer Salary Adjustment</t>
        </is>
      </c>
      <c r="C101" s="66" t="inlineStr">
        <is>
          <t>Comp analysis / W-2 Box 1 vs. QB</t>
        </is>
      </c>
      <c r="D101" s="67" t="inlineStr">
        <is>
          <t>Strategy Inputs  C27 (Item 19)</t>
        </is>
      </c>
      <c r="E101" s="70" t="inlineStr">
        <is>
          <t>Strategy Input</t>
        </is>
      </c>
      <c r="F101" s="68" t="inlineStr">
        <is>
          <t>Enter CHANGE only. If QB officer comp matches W-2, leave $0.</t>
        </is>
      </c>
    </row>
    <row r="102" ht="27.75" customHeight="1" s="52">
      <c r="A102" s="58" t="n">
        <v>91</v>
      </c>
      <c r="B102" s="59" t="inlineStr">
        <is>
          <t>Additional Retirement Contribution</t>
        </is>
      </c>
      <c r="C102" s="60" t="inlineStr">
        <is>
          <t>Plan documents — excess over QB amount</t>
        </is>
      </c>
      <c r="D102" s="61" t="inlineStr">
        <is>
          <t>Strategy Inputs  C28 (Item 20)</t>
        </is>
      </c>
      <c r="E102" s="70" t="inlineStr">
        <is>
          <t>Strategy Input</t>
        </is>
      </c>
      <c r="F102" s="63" t="inlineStr">
        <is>
          <t>$0 if QB already reflects full plan contribution.</t>
        </is>
      </c>
    </row>
    <row r="103" ht="21.75" customHeight="1" s="52">
      <c r="A103" s="57" t="inlineStr">
        <is>
          <t xml:space="preserve">  STEP 7 — VERIFY THESE TIEOUTS BEFORE FILING    ↳ Every green check cell should equal zero or tie to another line. If not, find the reconciling item before completing the return.</t>
        </is>
      </c>
    </row>
    <row r="104" ht="27.75" customHeight="1" s="52">
      <c r="A104" s="58" t="inlineStr">
        <is>
          <t>✓</t>
        </is>
      </c>
      <c r="B104" s="59" t="inlineStr">
        <is>
          <t>BS Check = 0</t>
        </is>
      </c>
      <c r="C104" s="60" t="inlineStr">
        <is>
          <t>WTB Tab → Row 36 (BS CHECK)</t>
        </is>
      </c>
      <c r="D104" s="61" t="inlineStr">
        <is>
          <t>WTB  D36</t>
        </is>
      </c>
      <c r="E104" s="71" t="inlineStr">
        <is>
          <t>Auto-Check</t>
        </is>
      </c>
      <c r="F104" s="63" t="inlineStr">
        <is>
          <t>Assets must equal Liabilities + Equity. Nonzero = data entry error somewhere in Steps 1–3.</t>
        </is>
      </c>
    </row>
    <row r="105" ht="27.75" customHeight="1" s="52">
      <c r="A105" s="64" t="inlineStr">
        <is>
          <t>✓</t>
        </is>
      </c>
      <c r="B105" s="65" t="inlineStr">
        <is>
          <t>M-1 Proof ties to Pg 1 Ln 28</t>
        </is>
      </c>
      <c r="C105" s="66" t="inlineStr">
        <is>
          <t>WTB Tab → M-1 Reconciliation rows 97–100</t>
        </is>
      </c>
      <c r="D105" s="67" t="inlineStr">
        <is>
          <t>WTB  B100</t>
        </is>
      </c>
      <c r="E105" s="71" t="inlineStr">
        <is>
          <t>Auto-Check</t>
        </is>
      </c>
      <c r="F105" s="68" t="inlineStr">
        <is>
          <t>Book income ± M-1 addbacks/deductions = taxable income. If it doesn't tie, check M-1 column E entries.</t>
        </is>
      </c>
    </row>
    <row r="106" ht="27.75" customHeight="1" s="52">
      <c r="A106" s="58" t="inlineStr">
        <is>
          <t>✓</t>
        </is>
      </c>
      <c r="B106" s="59" t="inlineStr">
        <is>
          <t>M-2 Ln 8 = Sch L Ln 25 EOY</t>
        </is>
      </c>
      <c r="C106" s="60" t="inlineStr">
        <is>
          <t>M-2 Ln 8  vs.  Sch L Col (d) Ln 25</t>
        </is>
      </c>
      <c r="D106" s="61" t="inlineStr">
        <is>
          <t>M-2  C14  vs  Sch L  D35</t>
        </is>
      </c>
      <c r="E106" s="71" t="inlineStr">
        <is>
          <t>Auto-Check</t>
        </is>
      </c>
      <c r="F106" s="63" t="inlineStr">
        <is>
          <t>Retained earnings on M-2 must equal Sch L equity section. Common fail: missing distributions.</t>
        </is>
      </c>
    </row>
    <row r="107" ht="27.75" customHeight="1" s="52">
      <c r="A107" s="64" t="inlineStr">
        <is>
          <t>✓</t>
        </is>
      </c>
      <c r="B107" s="65" t="inlineStr">
        <is>
          <t>Sch J Ln 2 = WTB 21% tax row</t>
        </is>
      </c>
      <c r="C107" s="66" t="inlineStr">
        <is>
          <t>Sch J Ln 2  vs.  WTB Row 88</t>
        </is>
      </c>
      <c r="D107" s="67" t="inlineStr">
        <is>
          <t>Sch J  C5  vs  WTB  D88</t>
        </is>
      </c>
      <c r="E107" s="71" t="inlineStr">
        <is>
          <t>Auto-Check</t>
        </is>
      </c>
      <c r="F107" s="68" t="inlineStr">
        <is>
          <t>Both compute 21% × Pg 1 Ln 30. Must be identical.</t>
        </is>
      </c>
    </row>
    <row r="108" ht="27.75" customHeight="1" s="52">
      <c r="A108" s="58" t="inlineStr">
        <is>
          <t>✓</t>
        </is>
      </c>
      <c r="B108" s="59" t="inlineStr">
        <is>
          <t>Sch L BOY Total Assets ties to PY EOY</t>
        </is>
      </c>
      <c r="C108" s="60" t="inlineStr">
        <is>
          <t>Sch L Col (a)/(b) total vs. PY Sch L Col (c)/(d)</t>
        </is>
      </c>
      <c r="D108" s="61" t="inlineStr">
        <is>
          <t>Sch L  C24</t>
        </is>
      </c>
      <c r="E108" s="71" t="inlineStr">
        <is>
          <t>Auto-Check</t>
        </is>
      </c>
      <c r="F108" s="63" t="inlineStr">
        <is>
          <t>Verify your BOY entries match PY return exactly.</t>
        </is>
      </c>
    </row>
    <row r="109" ht="7.5" customHeight="1" s="52"/>
    <row r="110" ht="21.75" customHeight="1" s="52">
      <c r="A110" s="72" t="inlineStr">
        <is>
          <t>WORKFLOW ORDER: Steps 1→2 (PBC data entry) → Step 3 (Sch L BOY) → Step 4 (M-2) → Step 5 (Sch J) → Step 6 (Strategy Inputs &amp; depr) → Step 7 (tieouts). Never skip Step 7.</t>
        </is>
      </c>
    </row>
  </sheetData>
  <mergeCells count="11">
    <mergeCell ref="A2:F2"/>
    <mergeCell ref="A33:F33"/>
    <mergeCell ref="A82:F82"/>
    <mergeCell ref="A1:F1"/>
    <mergeCell ref="A103:F103"/>
    <mergeCell ref="A110:F110"/>
    <mergeCell ref="A89:F89"/>
    <mergeCell ref="A6:F6"/>
    <mergeCell ref="A58:F58"/>
    <mergeCell ref="A3:F3"/>
    <mergeCell ref="A95:F9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1B3A5C"/>
    <outlinePr summaryBelow="1" summaryRight="1"/>
    <pageSetUpPr fitToPage="0"/>
  </sheetPr>
  <dimension ref="A1:B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51" min="1" max="1"/>
    <col width="18" customWidth="1" style="51" min="2" max="2"/>
  </cols>
  <sheetData>
    <row r="1" ht="18" customHeight="1" s="52">
      <c r="A1" s="73" t="inlineStr">
        <is>
          <t>PBC — PROFIT &amp; LOSS STATEMENT</t>
        </is>
      </c>
      <c r="B1" s="74" t="n"/>
    </row>
    <row r="2" ht="15" customHeight="1" s="52">
      <c r="A2" s="75" t="inlineStr">
        <is>
          <t>[ENTITY NAME] (C-Corp) — Tax Year [YEAR]</t>
        </is>
      </c>
      <c r="B2" s="74" t="n"/>
    </row>
    <row r="3"/>
    <row r="4" ht="30" customHeight="1" s="52">
      <c r="A4" s="76" t="inlineStr">
        <is>
          <t>Account</t>
        </is>
      </c>
      <c r="B4" s="76" t="inlineStr">
        <is>
          <t>Amount ($)</t>
        </is>
      </c>
    </row>
    <row r="5" ht="21.75" customHeight="1" s="52">
      <c r="A5" s="77" t="inlineStr">
        <is>
          <t>REVENUE</t>
        </is>
      </c>
      <c r="B5" s="78" t="n"/>
    </row>
    <row r="6" ht="15" customHeight="1" s="52">
      <c r="A6" s="79" t="inlineStr">
        <is>
          <t>Gross Receipts / Sales</t>
        </is>
      </c>
      <c r="B6" s="80" t="n"/>
    </row>
    <row r="7" ht="15" customHeight="1" s="52">
      <c r="A7" s="79" t="inlineStr">
        <is>
          <t>Returns &amp; Allowances</t>
        </is>
      </c>
      <c r="B7" s="80" t="n"/>
    </row>
    <row r="8" ht="15" customHeight="1" s="52">
      <c r="A8" s="79" t="inlineStr">
        <is>
          <t>Net Sales</t>
        </is>
      </c>
      <c r="B8" s="80">
        <f>B6+B7</f>
        <v/>
      </c>
    </row>
    <row r="9" ht="15" customHeight="1" s="52">
      <c r="A9" s="79" t="inlineStr">
        <is>
          <t>Equipment Rental Income</t>
        </is>
      </c>
      <c r="B9" s="80" t="n"/>
    </row>
    <row r="10"/>
    <row r="11" ht="21.75" customHeight="1" s="52">
      <c r="A11" s="77" t="inlineStr">
        <is>
          <t>COST OF GOODS SOLD</t>
        </is>
      </c>
      <c r="B11" s="78" t="n"/>
    </row>
    <row r="12" ht="15" customHeight="1" s="52">
      <c r="A12" s="79" t="inlineStr">
        <is>
          <t>Cost of Goods Sold</t>
        </is>
      </c>
      <c r="B12" s="80" t="n"/>
    </row>
    <row r="13" ht="15" customHeight="1" s="52">
      <c r="A13" s="81" t="inlineStr">
        <is>
          <t>Gross Profit</t>
        </is>
      </c>
      <c r="B13" s="80">
        <f>B8-B12</f>
        <v/>
      </c>
    </row>
    <row r="14"/>
    <row r="15" ht="21.75" customHeight="1" s="52">
      <c r="A15" s="77" t="inlineStr">
        <is>
          <t>OTHER INCOME</t>
        </is>
      </c>
      <c r="B15" s="78" t="n"/>
    </row>
    <row r="16" ht="15" customHeight="1" s="52">
      <c r="A16" s="79" t="inlineStr">
        <is>
          <t>Interest Income (Bank)</t>
        </is>
      </c>
      <c r="B16" s="80" t="n"/>
    </row>
    <row r="17" ht="15" customHeight="1" s="52">
      <c r="A17" s="79" t="inlineStr">
        <is>
          <t>Dividend Income (Ordinary)</t>
        </is>
      </c>
      <c r="B17" s="80" t="n"/>
    </row>
    <row r="18" ht="15" customHeight="1" s="52">
      <c r="A18" s="79" t="inlineStr">
        <is>
          <t>Capital Gain — Stock Sales (LTCG)</t>
        </is>
      </c>
      <c r="B18" s="80" t="n"/>
    </row>
    <row r="19" ht="15" customHeight="1" s="52">
      <c r="A19" s="79" t="inlineStr">
        <is>
          <t>Gain on Sale of Equipment</t>
        </is>
      </c>
      <c r="B19" s="80" t="n"/>
    </row>
    <row r="20" ht="15" customHeight="1" s="52">
      <c r="A20" s="79" t="inlineStr">
        <is>
          <t>Tax-Exempt Muni Bond Interest</t>
        </is>
      </c>
      <c r="B20" s="80" t="n"/>
    </row>
    <row r="21" ht="15" customHeight="1" s="52">
      <c r="A21" s="79" t="inlineStr">
        <is>
          <t>Unrealized Gain on Investments</t>
        </is>
      </c>
      <c r="B21" s="80" t="n"/>
    </row>
    <row r="22" ht="15" customHeight="1" s="52">
      <c r="A22" s="79" t="inlineStr">
        <is>
          <t>Royalties</t>
        </is>
      </c>
      <c r="B22" s="80" t="n"/>
    </row>
    <row r="23" ht="15" customHeight="1" s="52">
      <c r="A23" s="79" t="inlineStr">
        <is>
          <t>Other Income</t>
        </is>
      </c>
      <c r="B23" s="80" t="n"/>
    </row>
    <row r="24" ht="15" customHeight="1" s="52">
      <c r="A24" s="81" t="inlineStr">
        <is>
          <t>Total Other Income</t>
        </is>
      </c>
      <c r="B24" s="82">
        <f>SUM(B16:B23)</f>
        <v/>
      </c>
    </row>
    <row r="25"/>
    <row r="26" ht="21.75" customHeight="1" s="52">
      <c r="A26" s="77" t="inlineStr">
        <is>
          <t>OFFICER COMPENSATION</t>
        </is>
      </c>
      <c r="B26" s="78" t="n"/>
    </row>
    <row r="27" ht="15" customHeight="1" s="52">
      <c r="A27" s="79" t="inlineStr">
        <is>
          <t>Officer Compensation (per W-2)</t>
        </is>
      </c>
      <c r="B27" s="80" t="n"/>
    </row>
    <row r="28"/>
    <row r="29" ht="21.75" customHeight="1" s="52">
      <c r="A29" s="77" t="inlineStr">
        <is>
          <t>SALARIES &amp; WAGES</t>
        </is>
      </c>
      <c r="B29" s="78" t="n"/>
    </row>
    <row r="30" ht="15" customHeight="1" s="52">
      <c r="A30" s="79" t="inlineStr">
        <is>
          <t>Salaries &amp; Wages (non-officer)</t>
        </is>
      </c>
      <c r="B30" s="80" t="n"/>
    </row>
    <row r="31"/>
    <row r="32" ht="21.75" customHeight="1" s="52">
      <c r="A32" s="77" t="inlineStr">
        <is>
          <t>DEDUCTIONS</t>
        </is>
      </c>
      <c r="B32" s="78" t="n"/>
    </row>
    <row r="33" ht="15" customHeight="1" s="52">
      <c r="A33" s="79" t="inlineStr">
        <is>
          <t>Repairs &amp; Maintenance</t>
        </is>
      </c>
      <c r="B33" s="80" t="n"/>
    </row>
    <row r="34" ht="15" customHeight="1" s="52">
      <c r="A34" s="79" t="inlineStr">
        <is>
          <t>Bad Debts</t>
        </is>
      </c>
      <c r="B34" s="80" t="n"/>
    </row>
    <row r="35" ht="15" customHeight="1" s="52">
      <c r="A35" s="79" t="inlineStr">
        <is>
          <t>Rents</t>
        </is>
      </c>
      <c r="B35" s="80" t="n"/>
    </row>
    <row r="36" ht="15" customHeight="1" s="52">
      <c r="A36" s="79" t="inlineStr">
        <is>
          <t>Taxes &amp; Licenses</t>
        </is>
      </c>
      <c r="B36" s="80" t="n"/>
    </row>
    <row r="37" ht="15" customHeight="1" s="52">
      <c r="A37" s="79" t="inlineStr">
        <is>
          <t>Interest Expense — Business Loans</t>
        </is>
      </c>
      <c r="B37" s="80" t="n"/>
    </row>
    <row r="38" ht="15" customHeight="1" s="52">
      <c r="A38" s="79" t="inlineStr">
        <is>
          <t>Depreciation — Vehicles (Book)</t>
        </is>
      </c>
      <c r="B38" s="80" t="n"/>
    </row>
    <row r="39" ht="15" customHeight="1" s="52">
      <c r="A39" s="79" t="inlineStr">
        <is>
          <t>Depreciation — FF&amp;E (Book)</t>
        </is>
      </c>
      <c r="B39" s="80" t="n"/>
    </row>
    <row r="40" ht="15" customHeight="1" s="52">
      <c r="A40" s="79" t="inlineStr">
        <is>
          <t>Depreciation — Computers (Book)</t>
        </is>
      </c>
      <c r="B40" s="80" t="n"/>
    </row>
    <row r="41" ht="15" customHeight="1" s="52">
      <c r="A41" s="79" t="inlineStr">
        <is>
          <t>Depreciation — Leasehold (Book)</t>
        </is>
      </c>
      <c r="B41" s="80" t="n"/>
    </row>
    <row r="42" ht="15" customHeight="1" s="52">
      <c r="A42" s="79" t="inlineStr">
        <is>
          <t>Advertising</t>
        </is>
      </c>
      <c r="B42" s="80" t="n"/>
    </row>
    <row r="43" ht="15" customHeight="1" s="52">
      <c r="A43" s="79" t="inlineStr">
        <is>
          <t>Pension/Profit-Sharing Plans</t>
        </is>
      </c>
      <c r="B43" s="80" t="n"/>
    </row>
    <row r="44" ht="15" customHeight="1" s="52">
      <c r="A44" s="79" t="inlineStr">
        <is>
          <t>Employee Benefit Programs</t>
        </is>
      </c>
      <c r="B44" s="80" t="n"/>
    </row>
    <row r="45" ht="15" customHeight="1" s="52">
      <c r="A45" s="79" t="inlineStr">
        <is>
          <t>Meals (Business)</t>
        </is>
      </c>
      <c r="B45" s="80" t="n"/>
    </row>
    <row r="46" ht="15" customHeight="1" s="52">
      <c r="A46" s="79" t="inlineStr">
        <is>
          <t>Entertainment</t>
        </is>
      </c>
      <c r="B46" s="80" t="n"/>
    </row>
    <row r="47" ht="15" customHeight="1" s="52">
      <c r="A47" s="79" t="inlineStr">
        <is>
          <t>Charitable Contributions</t>
        </is>
      </c>
      <c r="B47" s="80" t="n"/>
    </row>
    <row r="48" ht="15" customHeight="1" s="52">
      <c r="A48" s="79" t="inlineStr">
        <is>
          <t>Political Contributions</t>
        </is>
      </c>
      <c r="B48" s="80" t="n"/>
    </row>
    <row r="49" ht="15" customHeight="1" s="52">
      <c r="A49" s="79" t="inlineStr">
        <is>
          <t>Penalties &amp; Fines</t>
        </is>
      </c>
      <c r="B49" s="80" t="n"/>
    </row>
    <row r="50" ht="15" customHeight="1" s="52">
      <c r="A50" s="79" t="inlineStr">
        <is>
          <t>Life Insurance (Corp Beneficiary)</t>
        </is>
      </c>
      <c r="B50" s="80" t="n"/>
    </row>
    <row r="51" ht="15" customHeight="1" s="52">
      <c r="A51" s="79" t="inlineStr">
        <is>
          <t>Club Dues</t>
        </is>
      </c>
      <c r="B51" s="80" t="n"/>
    </row>
    <row r="52" ht="15" customHeight="1" s="52">
      <c r="A52" s="79" t="inlineStr">
        <is>
          <t>Rental Activity Expenses</t>
        </is>
      </c>
      <c r="B52" s="80" t="n"/>
    </row>
    <row r="53" ht="15" customHeight="1" s="52">
      <c r="A53" s="79" t="inlineStr">
        <is>
          <t>Other Deductions</t>
        </is>
      </c>
      <c r="B53" s="80" t="n"/>
    </row>
    <row r="54" ht="15" customHeight="1" s="52">
      <c r="A54" s="81" t="inlineStr">
        <is>
          <t>Total Deductions</t>
        </is>
      </c>
      <c r="B54" s="82">
        <f>SUM(B33:B53)</f>
        <v/>
      </c>
    </row>
    <row r="55"/>
    <row r="56" ht="15" customHeight="1" s="52">
      <c r="A56" s="81" t="inlineStr">
        <is>
          <t>NET INCOME (BOOK)</t>
        </is>
      </c>
      <c r="B56" s="82">
        <f>B13+B9+B24-B27-B30-B54</f>
        <v/>
      </c>
    </row>
  </sheetData>
  <mergeCells count="8">
    <mergeCell ref="A26:B26"/>
    <mergeCell ref="A2:B2"/>
    <mergeCell ref="A29:B29"/>
    <mergeCell ref="A15:B15"/>
    <mergeCell ref="A11:B11"/>
    <mergeCell ref="A5:B5"/>
    <mergeCell ref="A32:B3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1B3A5C"/>
    <outlinePr summaryBelow="1" summaryRight="1"/>
    <pageSetUpPr fitToPage="0"/>
  </sheetPr>
  <dimension ref="A1:B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2" customWidth="1" style="51" min="1" max="1"/>
    <col width="18" customWidth="1" style="51" min="2" max="2"/>
  </cols>
  <sheetData>
    <row r="1" ht="18" customHeight="1" s="52">
      <c r="A1" s="73" t="inlineStr">
        <is>
          <t>PBC — BALANCE SHEET (as of 12/31/[YEAR])</t>
        </is>
      </c>
      <c r="B1" s="74" t="n"/>
    </row>
    <row r="2" ht="15" customHeight="1" s="52">
      <c r="A2" s="75" t="inlineStr">
        <is>
          <t>[ENTITY NAME] (C-Corp)</t>
        </is>
      </c>
    </row>
    <row r="3"/>
    <row r="4" ht="30" customHeight="1" s="52">
      <c r="A4" s="76" t="inlineStr">
        <is>
          <t>Account</t>
        </is>
      </c>
      <c r="B4" s="76" t="inlineStr">
        <is>
          <t>Amount ($)</t>
        </is>
      </c>
    </row>
    <row r="5" ht="21.75" customHeight="1" s="52">
      <c r="A5" s="77" t="inlineStr">
        <is>
          <t>ASSETS</t>
        </is>
      </c>
      <c r="B5" s="78" t="n"/>
    </row>
    <row r="6" ht="15" customHeight="1" s="52">
      <c r="A6" s="79" t="inlineStr">
        <is>
          <t>Cash &amp; Cash Equivalents</t>
        </is>
      </c>
      <c r="B6" s="80" t="n"/>
    </row>
    <row r="7" ht="15" customHeight="1" s="52">
      <c r="A7" s="79" t="inlineStr">
        <is>
          <t>Accounts Receivable (Gross)</t>
        </is>
      </c>
      <c r="B7" s="80" t="n"/>
    </row>
    <row r="8" ht="15" customHeight="1" s="52">
      <c r="A8" s="79" t="inlineStr">
        <is>
          <t>Less: Allowance for Doubtful Accounts</t>
        </is>
      </c>
      <c r="B8" s="80" t="n"/>
    </row>
    <row r="9" ht="15" customHeight="1" s="52">
      <c r="A9" s="79" t="inlineStr">
        <is>
          <t>Inventories</t>
        </is>
      </c>
      <c r="B9" s="80" t="n"/>
    </row>
    <row r="10" ht="15" customHeight="1" s="52">
      <c r="A10" s="79" t="inlineStr">
        <is>
          <t>Prepaid Expenses</t>
        </is>
      </c>
      <c r="B10" s="80" t="n"/>
    </row>
    <row r="11" ht="15" customHeight="1" s="52">
      <c r="A11" s="79" t="inlineStr">
        <is>
          <t>Investments — Govt Obligations</t>
        </is>
      </c>
      <c r="B11" s="80" t="n"/>
    </row>
    <row r="12" ht="15" customHeight="1" s="52">
      <c r="A12" s="79" t="inlineStr">
        <is>
          <t>Other Current Assets</t>
        </is>
      </c>
      <c r="B12" s="80" t="n"/>
    </row>
    <row r="13" ht="15" customHeight="1" s="52">
      <c r="A13" s="79" t="inlineStr">
        <is>
          <t>Land</t>
        </is>
      </c>
      <c r="B13" s="80" t="n"/>
    </row>
    <row r="14" ht="15" customHeight="1" s="52">
      <c r="A14" s="79" t="inlineStr">
        <is>
          <t>Buildings/Other Depreciable Assets</t>
        </is>
      </c>
      <c r="B14" s="80" t="n"/>
    </row>
    <row r="15" ht="15" customHeight="1" s="52">
      <c r="A15" s="79" t="inlineStr">
        <is>
          <t>Depreciable Assets (Cost/Basis)</t>
        </is>
      </c>
      <c r="B15" s="80" t="n"/>
    </row>
    <row r="16" ht="15" customHeight="1" s="52">
      <c r="A16" s="79" t="inlineStr">
        <is>
          <t>Less: Accumulated Depreciation</t>
        </is>
      </c>
      <c r="B16" s="80" t="n"/>
    </row>
    <row r="17" ht="15" customHeight="1" s="52">
      <c r="A17" s="79" t="inlineStr">
        <is>
          <t>Intangible Assets (Amortizable)</t>
        </is>
      </c>
      <c r="B17" s="80" t="n"/>
    </row>
    <row r="18" ht="15" customHeight="1" s="52">
      <c r="A18" s="79" t="inlineStr">
        <is>
          <t>Less: Accumulated Amortization</t>
        </is>
      </c>
      <c r="B18" s="80" t="n"/>
    </row>
    <row r="19" ht="15" customHeight="1" s="52">
      <c r="A19" s="79" t="inlineStr">
        <is>
          <t>Other Assets</t>
        </is>
      </c>
      <c r="B19" s="80" t="n"/>
    </row>
    <row r="20" ht="15" customHeight="1" s="52">
      <c r="A20" s="81" t="inlineStr">
        <is>
          <t>Total Assets</t>
        </is>
      </c>
      <c r="B20" s="82">
        <f>SUM(B6:B19)</f>
        <v/>
      </c>
    </row>
    <row r="21"/>
    <row r="22" ht="21.75" customHeight="1" s="52">
      <c r="A22" s="77" t="inlineStr">
        <is>
          <t>LIABILITIES</t>
        </is>
      </c>
      <c r="B22" s="78" t="n"/>
    </row>
    <row r="23" ht="15" customHeight="1" s="52">
      <c r="A23" s="79" t="inlineStr">
        <is>
          <t>Accounts Payable</t>
        </is>
      </c>
      <c r="B23" s="80" t="n"/>
    </row>
    <row r="24" ht="15" customHeight="1" s="52">
      <c r="A24" s="79" t="inlineStr">
        <is>
          <t>Mortgages/Notes Payable (&lt;1 yr)</t>
        </is>
      </c>
      <c r="B24" s="80" t="n"/>
    </row>
    <row r="25" ht="15" customHeight="1" s="52">
      <c r="A25" s="79" t="inlineStr">
        <is>
          <t>Other Current Liabilities</t>
        </is>
      </c>
      <c r="B25" s="80" t="n"/>
    </row>
    <row r="26" ht="15" customHeight="1" s="52">
      <c r="A26" s="79" t="inlineStr">
        <is>
          <t>Loans from Shareholders</t>
        </is>
      </c>
      <c r="B26" s="80" t="n"/>
    </row>
    <row r="27" ht="15" customHeight="1" s="52">
      <c r="A27" s="79" t="inlineStr">
        <is>
          <t>Mortgages/Notes Payable (≥1 yr)</t>
        </is>
      </c>
      <c r="B27" s="80" t="n"/>
    </row>
    <row r="28" ht="15" customHeight="1" s="52">
      <c r="A28" s="79" t="inlineStr">
        <is>
          <t>Other Liabilities</t>
        </is>
      </c>
      <c r="B28" s="80" t="n"/>
    </row>
    <row r="29" ht="15" customHeight="1" s="52">
      <c r="A29" s="81" t="inlineStr">
        <is>
          <t>Total Liabilities</t>
        </is>
      </c>
      <c r="B29" s="82">
        <f>SUM(B23:B28)</f>
        <v/>
      </c>
    </row>
    <row r="30"/>
    <row r="31" ht="21.75" customHeight="1" s="52">
      <c r="A31" s="77" t="inlineStr">
        <is>
          <t>EQUITY</t>
        </is>
      </c>
      <c r="B31" s="78" t="n"/>
    </row>
    <row r="32" ht="15" customHeight="1" s="52">
      <c r="A32" s="79" t="inlineStr">
        <is>
          <t>Capital Stock</t>
        </is>
      </c>
      <c r="B32" s="80" t="n"/>
    </row>
    <row r="33" ht="15" customHeight="1" s="52">
      <c r="A33" s="79" t="inlineStr">
        <is>
          <t>Additional Paid-In Capital</t>
        </is>
      </c>
      <c r="B33" s="80" t="n"/>
    </row>
    <row r="34" ht="15" customHeight="1" s="52">
      <c r="A34" s="79" t="inlineStr">
        <is>
          <t>Retained Earnings (Prior Years)</t>
        </is>
      </c>
      <c r="B34" s="80" t="n"/>
    </row>
    <row r="35" ht="15" customHeight="1" s="52">
      <c r="A35" s="79" t="inlineStr">
        <is>
          <t>Retained Earnings (Current Year)</t>
        </is>
      </c>
      <c r="B35" s="80">
        <f>B20-B29-B32-B33-B34-B36</f>
        <v/>
      </c>
    </row>
    <row r="36" ht="15" customHeight="1" s="52">
      <c r="A36" s="79" t="inlineStr">
        <is>
          <t>Less: Treasury Stock</t>
        </is>
      </c>
      <c r="B36" s="80" t="n"/>
    </row>
    <row r="37" ht="15" customHeight="1" s="52">
      <c r="A37" s="81" t="inlineStr">
        <is>
          <t>Total Equity</t>
        </is>
      </c>
      <c r="B37" s="82">
        <f>SUM(B32:B35)-B36</f>
        <v/>
      </c>
    </row>
    <row r="38"/>
    <row r="39" ht="15" customHeight="1" s="52">
      <c r="A39" s="81" t="inlineStr">
        <is>
          <t>TOTAL LIABILITIES + EQUITY</t>
        </is>
      </c>
      <c r="B39" s="82">
        <f>B29+B37</f>
        <v/>
      </c>
    </row>
    <row r="40" ht="15" customHeight="1" s="52">
      <c r="A40" s="81" t="inlineStr">
        <is>
          <t>Balance Sheet Check (should be 0)</t>
        </is>
      </c>
      <c r="B40" s="83">
        <f>B20-B38</f>
        <v/>
      </c>
    </row>
  </sheetData>
  <mergeCells count="4">
    <mergeCell ref="A31:B31"/>
    <mergeCell ref="A22:B22"/>
    <mergeCell ref="A1:B1"/>
    <mergeCell ref="A5:B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B8860B"/>
    <outlinePr summaryBelow="1" summaryRight="1"/>
    <pageSetUpPr fitToPage="0"/>
  </sheetPr>
  <dimension ref="A1:H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51" min="1" max="1"/>
    <col width="40" customWidth="1" style="51" min="2" max="2"/>
    <col width="16" customWidth="1" style="51" min="3" max="4"/>
    <col width="40" customWidth="1" style="51" min="5" max="5"/>
    <col width="20" customWidth="1" style="51" min="6" max="6"/>
    <col width="24" customWidth="1" style="51" min="7" max="7"/>
    <col width="14" customWidth="1" style="51" min="8" max="8"/>
  </cols>
  <sheetData>
    <row r="1" ht="18" customHeight="1" s="52">
      <c r="A1" s="73" t="inlineStr">
        <is>
          <t>STRATEGY &amp; ADJUSTMENT INPUTS — TYPE AMOUNTS HERE</t>
        </is>
      </c>
      <c r="B1" s="78" t="n"/>
      <c r="C1" s="78" t="n"/>
      <c r="D1" s="78" t="n"/>
      <c r="E1" s="78" t="n"/>
      <c r="F1" s="78" t="n"/>
      <c r="G1" s="78" t="n"/>
      <c r="H1" s="74" t="n"/>
    </row>
    <row r="2" ht="15" customHeight="1" s="52">
      <c r="A2" s="75" t="inlineStr">
        <is>
          <t>Yellow cells = INPUT. Blue font = you enter this. Black = formula/auto. M-1 items do NOT change books — just the tax return.</t>
        </is>
      </c>
      <c r="B2" s="78" t="n"/>
      <c r="C2" s="78" t="n"/>
      <c r="D2" s="78" t="n"/>
      <c r="E2" s="78" t="n"/>
      <c r="F2" s="78" t="n"/>
      <c r="G2" s="78" t="n"/>
      <c r="H2" s="74" t="n"/>
    </row>
    <row r="3"/>
    <row r="4"/>
    <row r="5" ht="30" customHeight="1" s="52">
      <c r="A5" s="76" t="inlineStr">
        <is>
          <t>#</t>
        </is>
      </c>
      <c r="B5" s="76" t="inlineStr">
        <is>
          <t>Adjustment Description</t>
        </is>
      </c>
      <c r="C5" s="76" t="inlineStr">
        <is>
          <t>INPUT
Amount ($)</t>
        </is>
      </c>
      <c r="D5" s="76" t="inlineStr">
        <is>
          <t>Auto / Calc</t>
        </is>
      </c>
      <c r="E5" s="76" t="inlineStr">
        <is>
          <t>What This Does</t>
        </is>
      </c>
      <c r="F5" s="76" t="inlineStr">
        <is>
          <t>Flows To → AJE</t>
        </is>
      </c>
      <c r="G5" s="76" t="inlineStr">
        <is>
          <t>Flows To → WTB</t>
        </is>
      </c>
      <c r="H5" s="76" t="inlineStr">
        <is>
          <t>Type</t>
        </is>
      </c>
    </row>
    <row r="6" ht="21.75" customHeight="1" s="52">
      <c r="A6" s="77" t="inlineStr">
        <is>
          <t>SECTION 1: PAGE 1 INCOME RECLASSIFICATIONS — Move to Correct Line or Remove</t>
        </is>
      </c>
      <c r="B6" s="78" t="n"/>
      <c r="C6" s="78" t="n"/>
      <c r="D6" s="78" t="n"/>
      <c r="E6" s="78" t="n"/>
      <c r="F6" s="78" t="n"/>
      <c r="G6" s="78" t="n"/>
      <c r="H6" s="78" t="n"/>
    </row>
    <row r="7" ht="36" customHeight="1" s="52">
      <c r="A7" s="84" t="inlineStr">
        <is>
          <t>1</t>
        </is>
      </c>
      <c r="B7" s="79" t="inlineStr">
        <is>
          <t>Equipment Rental Income
(Move from OBI to Pg 1 Ln 6)</t>
        </is>
      </c>
      <c r="C7" s="85" t="n"/>
      <c r="D7" s="86">
        <f>'PBC - P&amp;L'!B9</f>
        <v/>
      </c>
      <c r="E7" s="75" t="inlineStr">
        <is>
          <t>Removes rental income from Ln 3 gross profit. Reports on Pg 1 Ln 6 (Rents).</t>
        </is>
      </c>
      <c r="F7" s="79" t="inlineStr">
        <is>
          <t>AJE-01</t>
        </is>
      </c>
      <c r="G7" s="79" t="inlineStr">
        <is>
          <t>WTB r66 Col C</t>
        </is>
      </c>
      <c r="H7" s="79" t="inlineStr">
        <is>
          <t>Pg 1 Reclass</t>
        </is>
      </c>
    </row>
    <row r="8" ht="36" customHeight="1" s="52">
      <c r="A8" s="84" t="inlineStr">
        <is>
          <t>2</t>
        </is>
      </c>
      <c r="B8" s="79" t="inlineStr">
        <is>
          <t>Rental Activity Expenses
(Move to offset rental income)</t>
        </is>
      </c>
      <c r="C8" s="87" t="n"/>
      <c r="E8" s="75" t="inlineStr">
        <is>
          <t>Expenses for rental activity. Netted against rental income on Pg 1 Ln 6.</t>
        </is>
      </c>
      <c r="F8" s="79" t="inlineStr">
        <is>
          <t>AJE-01</t>
        </is>
      </c>
      <c r="G8" s="79" t="inlineStr">
        <is>
          <t>WTB r121 Col C</t>
        </is>
      </c>
      <c r="H8" s="79" t="inlineStr">
        <is>
          <t>Pg 1 Reclass</t>
        </is>
      </c>
    </row>
    <row r="9" ht="36" customHeight="1" s="52">
      <c r="A9" s="84" t="inlineStr">
        <is>
          <t>3</t>
        </is>
      </c>
      <c r="B9" s="79" t="inlineStr">
        <is>
          <t>Interest Income
(Move to Pg 1 Ln 5)</t>
        </is>
      </c>
      <c r="C9" s="85" t="n"/>
      <c r="D9" s="86">
        <f>'PBC - P&amp;L'!B16</f>
        <v/>
      </c>
      <c r="E9" s="75" t="inlineStr">
        <is>
          <t>Move from OBI to Pg 1 Ln 5 (Interest).</t>
        </is>
      </c>
      <c r="F9" s="79" t="inlineStr">
        <is>
          <t>AJE-02</t>
        </is>
      </c>
      <c r="G9" s="79" t="inlineStr">
        <is>
          <t>WTB r68 Col C</t>
        </is>
      </c>
      <c r="H9" s="79" t="inlineStr">
        <is>
          <t>Pg 1 Reclass</t>
        </is>
      </c>
    </row>
    <row r="10" ht="36" customHeight="1" s="52">
      <c r="A10" s="84" t="inlineStr">
        <is>
          <t>4</t>
        </is>
      </c>
      <c r="B10" s="79" t="inlineStr">
        <is>
          <t>Dividend Income
(Move to Pg 1 Ln 4 via Sch C)</t>
        </is>
      </c>
      <c r="C10" s="85" t="n"/>
      <c r="D10" s="86">
        <f>'PBC - P&amp;L'!B17</f>
        <v/>
      </c>
      <c r="E10" s="75" t="inlineStr">
        <is>
          <t>Move from OBI to Pg 1 Ln 4 (Dividends). Subject to DRD on Sch C.</t>
        </is>
      </c>
      <c r="F10" s="79" t="inlineStr">
        <is>
          <t>AJE-03</t>
        </is>
      </c>
      <c r="G10" s="79" t="inlineStr">
        <is>
          <t>WTB r69 Col C</t>
        </is>
      </c>
      <c r="H10" s="79" t="inlineStr">
        <is>
          <t>Pg 1 Reclass</t>
        </is>
      </c>
    </row>
    <row r="11" ht="36" customHeight="1" s="52">
      <c r="A11" s="84" t="inlineStr">
        <is>
          <t>5</t>
        </is>
      </c>
      <c r="B11" s="79" t="inlineStr">
        <is>
          <t>Capital Gain — Stock Sales
(Move to Pg 1 Ln 8 via Sch D)</t>
        </is>
      </c>
      <c r="C11" s="85" t="n"/>
      <c r="D11" s="86">
        <f>'PBC - P&amp;L'!B18</f>
        <v/>
      </c>
      <c r="E11" s="75" t="inlineStr">
        <is>
          <t>Move from OBI to Pg 1 Ln 8 (Capital Gain). Net capital loss limited to $0.</t>
        </is>
      </c>
      <c r="F11" s="79" t="inlineStr">
        <is>
          <t>AJE-04</t>
        </is>
      </c>
      <c r="G11" s="79" t="inlineStr">
        <is>
          <t>WTB r70 Col C</t>
        </is>
      </c>
      <c r="H11" s="79" t="inlineStr">
        <is>
          <t>Pg 1 Reclass</t>
        </is>
      </c>
    </row>
    <row r="12" ht="36" customHeight="1" s="52">
      <c r="A12" s="84" t="inlineStr">
        <is>
          <t>6</t>
        </is>
      </c>
      <c r="B12" s="79" t="inlineStr">
        <is>
          <t>Gain on Sale of Equipment
(Move to Pg 1 Ln 9 via Form 4797)</t>
        </is>
      </c>
      <c r="C12" s="85" t="n"/>
      <c r="D12" s="86">
        <f>'PBC - P&amp;L'!B19</f>
        <v/>
      </c>
      <c r="E12" s="75" t="inlineStr">
        <is>
          <t>Move from OBI to Pg 1 Ln 9. §1245 recapture = ordinary. §1231 = Ln 9.</t>
        </is>
      </c>
      <c r="F12" s="79" t="inlineStr">
        <is>
          <t>AJE-05</t>
        </is>
      </c>
      <c r="G12" s="79" t="inlineStr">
        <is>
          <t>WTB r71 Col C</t>
        </is>
      </c>
      <c r="H12" s="79" t="inlineStr">
        <is>
          <t>Pg 1 Reclass</t>
        </is>
      </c>
    </row>
    <row r="13" ht="36" customHeight="1" s="52">
      <c r="A13" s="84" t="inlineStr">
        <is>
          <t>7</t>
        </is>
      </c>
      <c r="B13" s="79" t="inlineStr">
        <is>
          <t>Tax-Exempt Muni Bond Interest
(Remove entirely — not taxable)</t>
        </is>
      </c>
      <c r="C13" s="85" t="n"/>
      <c r="D13" s="86">
        <f>'PBC - P&amp;L'!B20</f>
        <v/>
      </c>
      <c r="E13" s="75" t="inlineStr">
        <is>
          <t>Remove from income. Not taxable. Hits M-1 Ln 7. Reduces DRD computation.</t>
        </is>
      </c>
      <c r="F13" s="79" t="inlineStr">
        <is>
          <t>AJE-17</t>
        </is>
      </c>
      <c r="G13" s="79" t="inlineStr">
        <is>
          <t>WTB r72 Col C + Col F</t>
        </is>
      </c>
      <c r="H13" s="79" t="inlineStr">
        <is>
          <t>M-1 + Remove</t>
        </is>
      </c>
    </row>
    <row r="14" ht="36" customHeight="1" s="52">
      <c r="A14" s="84" t="inlineStr">
        <is>
          <t>8</t>
        </is>
      </c>
      <c r="B14" s="79" t="inlineStr">
        <is>
          <t>Unrealized Gain on Investments
(Book only — remove for tax)</t>
        </is>
      </c>
      <c r="C14" s="85" t="n"/>
      <c r="D14" s="86">
        <f>'PBC - P&amp;L'!B21</f>
        <v/>
      </c>
      <c r="E14" s="75" t="inlineStr">
        <is>
          <t>Book has unrealized gain; tax does not. Remove. M-1 Ln 8.</t>
        </is>
      </c>
      <c r="F14" s="79" t="inlineStr">
        <is>
          <t>AJE-18</t>
        </is>
      </c>
      <c r="G14" s="79" t="inlineStr">
        <is>
          <t>WTB r73 Col C + Col F</t>
        </is>
      </c>
      <c r="H14" s="79" t="inlineStr">
        <is>
          <t>M-1 Adj</t>
        </is>
      </c>
    </row>
    <row r="15" ht="21.75" customHeight="1" s="52">
      <c r="A15" s="77" t="inlineStr">
        <is>
          <t>SECTION 2: M-1 NONDEDUCTIBLE EXPENSES — On Books but Not Deductible on Return</t>
        </is>
      </c>
      <c r="B15" s="78" t="n"/>
      <c r="C15" s="78" t="n"/>
      <c r="D15" s="78" t="n"/>
      <c r="E15" s="78" t="n"/>
      <c r="F15" s="78" t="n"/>
      <c r="G15" s="78" t="n"/>
      <c r="H15" s="78" t="n"/>
    </row>
    <row r="16" ht="36" customHeight="1" s="52">
      <c r="A16" s="84" t="inlineStr">
        <is>
          <t>9</t>
        </is>
      </c>
      <c r="B16" s="79" t="inlineStr">
        <is>
          <t>Business Meals — 50% Nondeductible
(Tax only deducts 50%)</t>
        </is>
      </c>
      <c r="C16" s="85" t="n"/>
      <c r="D16" s="86">
        <f>'PBC - P&amp;L'!B45*0.5</f>
        <v/>
      </c>
      <c r="E16" s="75" t="inlineStr">
        <is>
          <t>Auto-calculates 50%. M-1 Ln 5c addback.</t>
        </is>
      </c>
      <c r="F16" s="79" t="inlineStr">
        <is>
          <t>AJE-07</t>
        </is>
      </c>
      <c r="G16" s="79" t="inlineStr">
        <is>
          <t>WTB r99 Col F only</t>
        </is>
      </c>
      <c r="H16" s="79" t="inlineStr">
        <is>
          <t>M-1 Only</t>
        </is>
      </c>
    </row>
    <row r="17" ht="36" customHeight="1" s="52">
      <c r="A17" s="84" t="inlineStr">
        <is>
          <t>10</t>
        </is>
      </c>
      <c r="B17" s="79" t="inlineStr">
        <is>
          <t>Entertainment — 100% Nondeductible</t>
        </is>
      </c>
      <c r="C17" s="85" t="n"/>
      <c r="D17" s="86">
        <f>'PBC - P&amp;L'!B46</f>
        <v/>
      </c>
      <c r="E17" s="75" t="inlineStr">
        <is>
          <t>100% nondeductible. M-1 Ln 5d addback.</t>
        </is>
      </c>
      <c r="F17" s="79" t="inlineStr">
        <is>
          <t>AJE-08</t>
        </is>
      </c>
      <c r="G17" s="79" t="inlineStr">
        <is>
          <t>WTB r100 Col C + F</t>
        </is>
      </c>
      <c r="H17" s="79" t="inlineStr">
        <is>
          <t>M-1 + Col C</t>
        </is>
      </c>
    </row>
    <row r="18" ht="36" customHeight="1" s="52">
      <c r="A18" s="84" t="inlineStr">
        <is>
          <t>11</t>
        </is>
      </c>
      <c r="B18" s="79" t="inlineStr">
        <is>
          <t>Charitable — Excess Over 10% Limit
(Deductible up to 10% of taxable income)</t>
        </is>
      </c>
      <c r="C18" s="87" t="n"/>
      <c r="E18" s="75" t="inlineStr">
        <is>
          <t>C-corps deduct charity on Pg 1 Ln 19 (up to 10% limit). Enter EXCESS here.</t>
        </is>
      </c>
      <c r="F18" s="79" t="inlineStr">
        <is>
          <t>AJE-09</t>
        </is>
      </c>
      <c r="G18" s="79" t="inlineStr">
        <is>
          <t>WTB r114 Col F</t>
        </is>
      </c>
      <c r="H18" s="79" t="inlineStr">
        <is>
          <t>M-1 (excess)</t>
        </is>
      </c>
    </row>
    <row r="19" ht="36" customHeight="1" s="52">
      <c r="A19" s="84" t="inlineStr">
        <is>
          <t>12</t>
        </is>
      </c>
      <c r="B19" s="79" t="inlineStr">
        <is>
          <t>Political Contributions — 100% Nondeductible</t>
        </is>
      </c>
      <c r="C19" s="85" t="n"/>
      <c r="D19" s="86">
        <f>'PBC - P&amp;L'!B48</f>
        <v/>
      </c>
      <c r="E19" s="75" t="inlineStr">
        <is>
          <t>Always nondeductible. M-1 addback.</t>
        </is>
      </c>
      <c r="F19" s="79" t="inlineStr">
        <is>
          <t>AJE-10</t>
        </is>
      </c>
      <c r="G19" s="79" t="inlineStr">
        <is>
          <t>WTB r115 Col F only</t>
        </is>
      </c>
      <c r="H19" s="79" t="inlineStr">
        <is>
          <t>M-1 Only</t>
        </is>
      </c>
    </row>
    <row r="20" ht="36" customHeight="1" s="52">
      <c r="A20" s="84" t="inlineStr">
        <is>
          <t>13</t>
        </is>
      </c>
      <c r="B20" s="79" t="inlineStr">
        <is>
          <t>Penalties &amp; Fines — 100% Nondeductible</t>
        </is>
      </c>
      <c r="C20" s="85" t="n"/>
      <c r="D20" s="86">
        <f>'PBC - P&amp;L'!B49</f>
        <v/>
      </c>
      <c r="E20" s="75" t="inlineStr">
        <is>
          <t>Nondeductible §162(f). M-1 addback.</t>
        </is>
      </c>
      <c r="F20" s="79" t="inlineStr">
        <is>
          <t>AJE-11</t>
        </is>
      </c>
      <c r="G20" s="79" t="inlineStr">
        <is>
          <t>WTB r116 Col F only</t>
        </is>
      </c>
      <c r="H20" s="79" t="inlineStr">
        <is>
          <t>M-1 Only</t>
        </is>
      </c>
    </row>
    <row r="21" ht="36" customHeight="1" s="52">
      <c r="A21" s="84" t="inlineStr">
        <is>
          <t>14</t>
        </is>
      </c>
      <c r="B21" s="79" t="inlineStr">
        <is>
          <t>Life Insurance (Corp Beneficiary)
— Nondeductible</t>
        </is>
      </c>
      <c r="C21" s="85" t="n"/>
      <c r="D21" s="86">
        <f>'PBC - P&amp;L'!B50</f>
        <v/>
      </c>
      <c r="E21" s="75" t="inlineStr">
        <is>
          <t>Nondeductible when corp is beneficiary. M-1 addback.</t>
        </is>
      </c>
      <c r="F21" s="79" t="inlineStr">
        <is>
          <t>AJE-12</t>
        </is>
      </c>
      <c r="G21" s="79" t="inlineStr">
        <is>
          <t>WTB r117 Col F only</t>
        </is>
      </c>
      <c r="H21" s="79" t="inlineStr">
        <is>
          <t>M-1 Only</t>
        </is>
      </c>
    </row>
    <row r="22" ht="36" customHeight="1" s="52">
      <c r="A22" s="84" t="inlineStr">
        <is>
          <t>15</t>
        </is>
      </c>
      <c r="B22" s="79" t="inlineStr">
        <is>
          <t>Club Dues — Nondeductible</t>
        </is>
      </c>
      <c r="C22" s="85" t="n"/>
      <c r="D22" s="86">
        <f>'PBC - P&amp;L'!B51</f>
        <v/>
      </c>
      <c r="E22" s="75" t="inlineStr">
        <is>
          <t>Always nondeductible. M-1 addback.</t>
        </is>
      </c>
      <c r="F22" s="79" t="inlineStr">
        <is>
          <t>AJE-13</t>
        </is>
      </c>
      <c r="G22" s="79" t="inlineStr">
        <is>
          <t>WTB r118 Col F only</t>
        </is>
      </c>
      <c r="H22" s="79" t="inlineStr">
        <is>
          <t>M-1 Only</t>
        </is>
      </c>
    </row>
    <row r="23" ht="21.75" customHeight="1" s="52">
      <c r="A23" s="77" t="inlineStr">
        <is>
          <t>SECTION 3: DEPRECIATION — Remove Book, Add Tax (MACRS / §179)</t>
        </is>
      </c>
      <c r="B23" s="78" t="n"/>
      <c r="C23" s="78" t="n"/>
      <c r="D23" s="78" t="n"/>
      <c r="E23" s="78" t="n"/>
      <c r="F23" s="78" t="n"/>
      <c r="G23" s="78" t="n"/>
      <c r="H23" s="78" t="n"/>
    </row>
    <row r="24" ht="36" customHeight="1" s="52">
      <c r="A24" s="84" t="inlineStr">
        <is>
          <t>16</t>
        </is>
      </c>
      <c r="B24" s="79" t="inlineStr">
        <is>
          <t>Total Book Depreciation
(Auto-pulls — ALL book depr removed)</t>
        </is>
      </c>
      <c r="C24" s="85" t="n"/>
      <c r="D24" s="86">
        <f>'PBC - P&amp;L'!B38+'PBC - P&amp;L'!B39+'PBC - P&amp;L'!B40+'PBC - P&amp;L'!B41</f>
        <v/>
      </c>
      <c r="E24" s="75" t="inlineStr">
        <is>
          <t>Entire book depr removed from Pg 1. Replaced by tax depr. M-1 Ln 5a.</t>
        </is>
      </c>
      <c r="F24" s="79" t="inlineStr">
        <is>
          <t>AJE-14</t>
        </is>
      </c>
      <c r="G24" s="79" t="inlineStr">
        <is>
          <t>WTB r105-108 Col C + F</t>
        </is>
      </c>
      <c r="H24" s="79" t="inlineStr">
        <is>
          <t>Book→Tax</t>
        </is>
      </c>
    </row>
    <row r="25" ht="36" customHeight="1" s="52">
      <c r="A25" s="84" t="inlineStr">
        <is>
          <t>17</t>
        </is>
      </c>
      <c r="B25" s="79" t="inlineStr">
        <is>
          <t>Tax Depreciation — MACRS/Bonus
(ENTER FROM TAX SOFTWARE)</t>
        </is>
      </c>
      <c r="C25" s="87" t="n"/>
      <c r="E25" s="75" t="inlineStr">
        <is>
          <t>Enter total from Form 4562. Goes to Pg 1 Ln 20. M-1 Ln 8a.</t>
        </is>
      </c>
      <c r="F25" s="79" t="inlineStr">
        <is>
          <t>AJE-15</t>
        </is>
      </c>
      <c r="G25" s="79" t="inlineStr">
        <is>
          <t>WTB r109 Col D + F</t>
        </is>
      </c>
      <c r="H25" s="79" t="inlineStr">
        <is>
          <t>Tax Only</t>
        </is>
      </c>
    </row>
    <row r="26" ht="36" customHeight="1" s="52">
      <c r="A26" s="84" t="inlineStr">
        <is>
          <t>18</t>
        </is>
      </c>
      <c r="B26" s="79" t="inlineStr">
        <is>
          <t>§179 Deduction
(ENTER FROM TAX SOFTWARE)</t>
        </is>
      </c>
      <c r="C26" s="87" t="n"/>
      <c r="E26" s="75" t="inlineStr">
        <is>
          <t>Enter from 4562 Part I. Goes to Pg 1 Ln 20. M-1 Ln 8b.</t>
        </is>
      </c>
      <c r="F26" s="79" t="inlineStr">
        <is>
          <t>AJE-16</t>
        </is>
      </c>
      <c r="G26" s="79" t="inlineStr">
        <is>
          <t>WTB r110 Col D + F</t>
        </is>
      </c>
      <c r="H26" s="79" t="inlineStr">
        <is>
          <t>Tax Only</t>
        </is>
      </c>
    </row>
    <row r="27" ht="21.75" customHeight="1" s="52">
      <c r="A27" s="77" t="inlineStr">
        <is>
          <t>SECTION 4: TAX STRATEGY ADJUSTMENTS — C-Corp Specific</t>
        </is>
      </c>
      <c r="B27" s="78" t="n"/>
      <c r="C27" s="78" t="n"/>
      <c r="D27" s="78" t="n"/>
      <c r="E27" s="78" t="n"/>
      <c r="F27" s="78" t="n"/>
      <c r="G27" s="78" t="n"/>
      <c r="H27" s="78" t="n"/>
    </row>
    <row r="28" ht="36" customHeight="1" s="52">
      <c r="A28" s="84" t="inlineStr">
        <is>
          <t>19</t>
        </is>
      </c>
      <c r="B28" s="79" t="inlineStr">
        <is>
          <t>NOL Carryforward
(Pg 1 Ln 29a — limited to 80% of taxable income)</t>
        </is>
      </c>
      <c r="C28" s="87" t="n"/>
      <c r="E28" s="75" t="inlineStr">
        <is>
          <t>Enter NOL available. Limited to 80% of taxable income (pre-NOL). Pg 1 Ln 29a.</t>
        </is>
      </c>
      <c r="F28" s="79" t="inlineStr">
        <is>
          <t>N/A (Pg 1)</t>
        </is>
      </c>
      <c r="G28" s="79" t="inlineStr">
        <is>
          <t>WTB Ln 29a</t>
        </is>
      </c>
      <c r="H28" s="79" t="inlineStr">
        <is>
          <t>Pg 1 Deduction</t>
        </is>
      </c>
    </row>
    <row r="29" ht="36" customHeight="1" s="52">
      <c r="A29" s="84" t="inlineStr">
        <is>
          <t>20</t>
        </is>
      </c>
      <c r="B29" s="79" t="inlineStr">
        <is>
          <t>Dividends Received Deduction (DRD)
(Pg 1 Ln 29b from Sch C)</t>
        </is>
      </c>
      <c r="C29" s="87" t="n"/>
      <c r="E29" s="75" t="inlineStr">
        <is>
          <t>50%/65%/100% DRD depending on ownership %. From Schedule C.</t>
        </is>
      </c>
      <c r="F29" s="79" t="inlineStr">
        <is>
          <t>N/A (Pg 1)</t>
        </is>
      </c>
      <c r="G29" s="79" t="inlineStr">
        <is>
          <t>WTB Ln 29b</t>
        </is>
      </c>
      <c r="H29" s="79" t="inlineStr">
        <is>
          <t>Pg 1 Deduction</t>
        </is>
      </c>
    </row>
    <row r="30" ht="36" customHeight="1" s="52">
      <c r="A30" s="84" t="inlineStr">
        <is>
          <t>21</t>
        </is>
      </c>
      <c r="B30" s="79" t="inlineStr">
        <is>
          <t>Officer Salary Adjustment
(CHANGE only — + or −)</t>
        </is>
      </c>
      <c r="C30" s="87" t="n"/>
      <c r="E30" s="75" t="inlineStr">
        <is>
          <t>Enter CHANGE from PBC amount. $0 if correct. Pg 1 Ln 12.</t>
        </is>
      </c>
      <c r="F30" s="79" t="inlineStr">
        <is>
          <t>New AJE</t>
        </is>
      </c>
      <c r="G30" s="79" t="inlineStr">
        <is>
          <t>WTB r85 Officer comp</t>
        </is>
      </c>
      <c r="H30" s="79" t="inlineStr">
        <is>
          <t>Entity Adj</t>
        </is>
      </c>
    </row>
    <row r="31" ht="36" customHeight="1" s="52">
      <c r="A31" s="84" t="inlineStr">
        <is>
          <t>22</t>
        </is>
      </c>
      <c r="B31" s="79" t="inlineStr">
        <is>
          <t>Retirement Plan — Additional Contribution
(Amount NOT on PBC)</t>
        </is>
      </c>
      <c r="C31" s="87" t="n"/>
      <c r="E31" s="75" t="inlineStr">
        <is>
          <t>Additional employer contribution not on PBC. Pg 1 Ln 23.</t>
        </is>
      </c>
      <c r="F31" s="79" t="inlineStr">
        <is>
          <t>New AJE</t>
        </is>
      </c>
      <c r="G31" s="79" t="inlineStr">
        <is>
          <t>WTB Pg 1 Ln 23</t>
        </is>
      </c>
      <c r="H31" s="79" t="inlineStr">
        <is>
          <t>Entity Deduction</t>
        </is>
      </c>
    </row>
  </sheetData>
  <mergeCells count="6">
    <mergeCell ref="A15:H15"/>
    <mergeCell ref="A2:H2"/>
    <mergeCell ref="A1:H1"/>
    <mergeCell ref="A23:H23"/>
    <mergeCell ref="A27:H27"/>
    <mergeCell ref="A6:H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4472C4"/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51" min="1" max="1"/>
    <col width="42" customWidth="1" style="51" min="2" max="2"/>
    <col width="16" customWidth="1" style="51" min="3" max="4"/>
    <col width="18" customWidth="1" style="51" min="5" max="5"/>
    <col width="30" customWidth="1" style="51" min="6" max="6"/>
  </cols>
  <sheetData>
    <row r="1" ht="18" customHeight="1" s="52">
      <c r="A1" s="73" t="inlineStr">
        <is>
          <t>ADJUSTING ENTRIES — Book-to-Tax Adjustments</t>
        </is>
      </c>
      <c r="B1" s="78" t="n"/>
      <c r="C1" s="78" t="n"/>
      <c r="D1" s="78" t="n"/>
      <c r="E1" s="78" t="n"/>
      <c r="F1" s="74" t="n"/>
    </row>
    <row r="2" ht="15" customHeight="1" s="52">
      <c r="A2" s="75" t="inlineStr">
        <is>
          <t>Auto-generated from PBC + Strategy Inputs. Blue = manual override available.</t>
        </is>
      </c>
      <c r="B2" s="78" t="n"/>
      <c r="C2" s="78" t="n"/>
      <c r="D2" s="78" t="n"/>
      <c r="E2" s="78" t="n"/>
      <c r="F2" s="74" t="n"/>
    </row>
    <row r="3"/>
    <row r="4" ht="30" customHeight="1" s="52">
      <c r="A4" s="76" t="inlineStr">
        <is>
          <t>AJE #</t>
        </is>
      </c>
      <c r="B4" s="76" t="inlineStr">
        <is>
          <t>Description</t>
        </is>
      </c>
      <c r="C4" s="76" t="inlineStr">
        <is>
          <t>Debit</t>
        </is>
      </c>
      <c r="D4" s="76" t="inlineStr">
        <is>
          <t>Credit</t>
        </is>
      </c>
      <c r="E4" s="76" t="inlineStr">
        <is>
          <t>Net Effect on
Taxable Income</t>
        </is>
      </c>
      <c r="F4" s="76" t="inlineStr">
        <is>
          <t>Source</t>
        </is>
      </c>
    </row>
    <row r="5" ht="31.5" customHeight="1" s="52">
      <c r="A5" s="88" t="inlineStr">
        <is>
          <t>AJE-01</t>
        </is>
      </c>
      <c r="B5" s="79" t="inlineStr">
        <is>
          <t>Rental Income Reclass
(OBI → Pg 1 Ln 6)</t>
        </is>
      </c>
      <c r="C5" s="86">
        <f>'Strategy Inputs'!D7</f>
        <v/>
      </c>
      <c r="E5" s="75" t="inlineStr">
        <is>
          <t>Remove from gross profit,
report on Pg 1 Ln 6</t>
        </is>
      </c>
      <c r="F5" s="79" t="inlineStr">
        <is>
          <t>Strategy Inputs / PBC</t>
        </is>
      </c>
    </row>
    <row r="6" ht="31.5" customHeight="1" s="52">
      <c r="A6" s="88" t="inlineStr">
        <is>
          <t>AJE-02</t>
        </is>
      </c>
      <c r="B6" s="79" t="inlineStr">
        <is>
          <t>Interest Income Reclass
(OBI → Pg 1 Ln 5)</t>
        </is>
      </c>
      <c r="C6" s="86">
        <f>'Strategy Inputs'!D9</f>
        <v/>
      </c>
      <c r="E6" s="75" t="inlineStr">
        <is>
          <t>Remove from OBI,
Pg 1 Ln 5</t>
        </is>
      </c>
      <c r="F6" s="79" t="inlineStr">
        <is>
          <t>Strategy Inputs / PBC</t>
        </is>
      </c>
    </row>
    <row r="7" ht="31.5" customHeight="1" s="52">
      <c r="A7" s="88" t="inlineStr">
        <is>
          <t>AJE-03</t>
        </is>
      </c>
      <c r="B7" s="79" t="inlineStr">
        <is>
          <t>Dividend Income Reclass
(OBI → Pg 1 Ln 4 / Sch C)</t>
        </is>
      </c>
      <c r="C7" s="86">
        <f>'Strategy Inputs'!D10</f>
        <v/>
      </c>
      <c r="E7" s="75" t="inlineStr">
        <is>
          <t>Remove from OBI,
Pg 1 Ln 4 via Sch C</t>
        </is>
      </c>
      <c r="F7" s="79" t="inlineStr">
        <is>
          <t>Strategy Inputs / PBC</t>
        </is>
      </c>
    </row>
    <row r="8" ht="31.5" customHeight="1" s="52">
      <c r="A8" s="88" t="inlineStr">
        <is>
          <t>AJE-04</t>
        </is>
      </c>
      <c r="B8" s="79" t="inlineStr">
        <is>
          <t>Capital Gain Reclass
(OBI → Pg 1 Ln 8)</t>
        </is>
      </c>
      <c r="C8" s="86">
        <f>'Strategy Inputs'!D11</f>
        <v/>
      </c>
      <c r="E8" s="75" t="inlineStr">
        <is>
          <t>Remove from OBI,
Pg 1 Ln 8 via Sch D</t>
        </is>
      </c>
      <c r="F8" s="79" t="inlineStr">
        <is>
          <t>Strategy Inputs / PBC</t>
        </is>
      </c>
    </row>
    <row r="9" ht="31.5" customHeight="1" s="52">
      <c r="A9" s="88" t="inlineStr">
        <is>
          <t>AJE-05</t>
        </is>
      </c>
      <c r="B9" s="79" t="inlineStr">
        <is>
          <t>Equipment Sale Reclass
(OBI → Pg 1 Ln 9)</t>
        </is>
      </c>
      <c r="C9" s="86">
        <f>'Strategy Inputs'!D12</f>
        <v/>
      </c>
      <c r="E9" s="75" t="inlineStr">
        <is>
          <t>Remove from OBI,
Pg 1 Ln 9 via 4797</t>
        </is>
      </c>
      <c r="F9" s="79" t="inlineStr">
        <is>
          <t>Strategy Inputs / PBC</t>
        </is>
      </c>
    </row>
    <row r="10" ht="31.5" customHeight="1" s="52">
      <c r="A10" s="88" t="inlineStr">
        <is>
          <t>AJE-07</t>
        </is>
      </c>
      <c r="B10" s="79" t="inlineStr">
        <is>
          <t>Meals 50% Disallowance
(M-1 addback only)</t>
        </is>
      </c>
      <c r="D10" s="86">
        <f>'Strategy Inputs'!D15</f>
        <v/>
      </c>
      <c r="E10" s="75" t="inlineStr">
        <is>
          <t>No Col C adj.
M-1 Ln 5c addback</t>
        </is>
      </c>
      <c r="F10" s="79" t="inlineStr">
        <is>
          <t>Strategy Inputs / PBC</t>
        </is>
      </c>
    </row>
    <row r="11" ht="31.5" customHeight="1" s="52">
      <c r="A11" s="88" t="inlineStr">
        <is>
          <t>AJE-08</t>
        </is>
      </c>
      <c r="B11" s="79" t="inlineStr">
        <is>
          <t>Entertainment 100% Disallowance</t>
        </is>
      </c>
      <c r="C11" s="86">
        <f>'Strategy Inputs'!D16</f>
        <v/>
      </c>
      <c r="E11" s="75" t="inlineStr">
        <is>
          <t>Remove from deductions.
M-1 Ln 5d</t>
        </is>
      </c>
      <c r="F11" s="79" t="inlineStr">
        <is>
          <t>Strategy Inputs / PBC</t>
        </is>
      </c>
    </row>
    <row r="12" ht="31.5" customHeight="1" s="52">
      <c r="A12" s="88" t="inlineStr">
        <is>
          <t>AJE-09</t>
        </is>
      </c>
      <c r="B12" s="79" t="inlineStr">
        <is>
          <t>Charitable Excess (&gt;10% limit)
(M-1 addback for excess)</t>
        </is>
      </c>
      <c r="D12" s="86">
        <f>'Strategy Inputs'!C17</f>
        <v/>
      </c>
      <c r="E12" s="75" t="inlineStr">
        <is>
          <t>Excess over 10% limit.
Carryforward 5 yrs</t>
        </is>
      </c>
      <c r="F12" s="79" t="inlineStr">
        <is>
          <t>Strategy Inputs / PBC</t>
        </is>
      </c>
    </row>
    <row r="13" ht="31.5" customHeight="1" s="52">
      <c r="A13" s="88" t="inlineStr">
        <is>
          <t>AJE-10</t>
        </is>
      </c>
      <c r="B13" s="79" t="inlineStr">
        <is>
          <t>Political Contributions Disallowance</t>
        </is>
      </c>
      <c r="D13" s="86">
        <f>'Strategy Inputs'!D18</f>
        <v/>
      </c>
      <c r="E13" s="75" t="inlineStr">
        <is>
          <t>M-1 addback</t>
        </is>
      </c>
      <c r="F13" s="79" t="inlineStr">
        <is>
          <t>Strategy Inputs / PBC</t>
        </is>
      </c>
    </row>
    <row r="14" ht="31.5" customHeight="1" s="52">
      <c r="A14" s="88" t="inlineStr">
        <is>
          <t>AJE-11</t>
        </is>
      </c>
      <c r="B14" s="79" t="inlineStr">
        <is>
          <t>Penalties &amp; Fines Disallowance</t>
        </is>
      </c>
      <c r="D14" s="86">
        <f>'Strategy Inputs'!D19</f>
        <v/>
      </c>
      <c r="E14" s="75" t="inlineStr">
        <is>
          <t>M-1 addback</t>
        </is>
      </c>
      <c r="F14" s="79" t="inlineStr">
        <is>
          <t>Strategy Inputs / PBC</t>
        </is>
      </c>
    </row>
    <row r="15" ht="31.5" customHeight="1" s="52">
      <c r="A15" s="88" t="inlineStr">
        <is>
          <t>AJE-12</t>
        </is>
      </c>
      <c r="B15" s="79" t="inlineStr">
        <is>
          <t>Life Insurance Disallowance</t>
        </is>
      </c>
      <c r="D15" s="86">
        <f>'Strategy Inputs'!D20</f>
        <v/>
      </c>
      <c r="E15" s="75" t="inlineStr">
        <is>
          <t>M-1 addback</t>
        </is>
      </c>
      <c r="F15" s="79" t="inlineStr">
        <is>
          <t>Strategy Inputs / PBC</t>
        </is>
      </c>
    </row>
    <row r="16" ht="31.5" customHeight="1" s="52">
      <c r="A16" s="88" t="inlineStr">
        <is>
          <t>AJE-13</t>
        </is>
      </c>
      <c r="B16" s="79" t="inlineStr">
        <is>
          <t>Club Dues Disallowance</t>
        </is>
      </c>
      <c r="D16" s="86">
        <f>'Strategy Inputs'!D21</f>
        <v/>
      </c>
      <c r="E16" s="75" t="inlineStr">
        <is>
          <t>M-1 addback</t>
        </is>
      </c>
      <c r="F16" s="79" t="inlineStr">
        <is>
          <t>Strategy Inputs / PBC</t>
        </is>
      </c>
    </row>
    <row r="17" ht="31.5" customHeight="1" s="52">
      <c r="A17" s="88" t="inlineStr">
        <is>
          <t>AJE-14</t>
        </is>
      </c>
      <c r="B17" s="79" t="inlineStr">
        <is>
          <t>Remove Book Depreciation
(All categories)</t>
        </is>
      </c>
      <c r="C17" s="86">
        <f>'Strategy Inputs'!D22</f>
        <v/>
      </c>
      <c r="E17" s="75" t="inlineStr">
        <is>
          <t>Remove book depr.
Replace with tax</t>
        </is>
      </c>
      <c r="F17" s="79" t="inlineStr">
        <is>
          <t>Strategy Inputs / PBC</t>
        </is>
      </c>
    </row>
    <row r="18" ht="31.5" customHeight="1" s="52">
      <c r="A18" s="88" t="inlineStr">
        <is>
          <t>AJE-15</t>
        </is>
      </c>
      <c r="B18" s="79" t="inlineStr">
        <is>
          <t>Add Tax Depreciation (MACRS/Bonus)</t>
        </is>
      </c>
      <c r="D18" s="86">
        <f>'Strategy Inputs'!C23</f>
        <v/>
      </c>
      <c r="E18" s="75" t="inlineStr">
        <is>
          <t>Tax depr replaces book.
Pg 1 Ln 20</t>
        </is>
      </c>
      <c r="F18" s="79" t="inlineStr">
        <is>
          <t>Strategy Inputs / PBC</t>
        </is>
      </c>
    </row>
    <row r="19" ht="31.5" customHeight="1" s="52">
      <c r="A19" s="88" t="inlineStr">
        <is>
          <t>AJE-16</t>
        </is>
      </c>
      <c r="B19" s="79" t="inlineStr">
        <is>
          <t>Add §179 Deduction</t>
        </is>
      </c>
      <c r="D19" s="86">
        <f>'Strategy Inputs'!C24</f>
        <v/>
      </c>
      <c r="E19" s="75" t="inlineStr">
        <is>
          <t>§179 added.
Pg 1 Ln 20</t>
        </is>
      </c>
      <c r="F19" s="79" t="inlineStr">
        <is>
          <t>Strategy Inputs / PBC</t>
        </is>
      </c>
    </row>
    <row r="20" ht="31.5" customHeight="1" s="52">
      <c r="A20" s="88" t="inlineStr">
        <is>
          <t>AJE-17</t>
        </is>
      </c>
      <c r="B20" s="79" t="inlineStr">
        <is>
          <t>Remove Tax-Exempt Interest
(Muni bonds — not taxable)</t>
        </is>
      </c>
      <c r="C20" s="86">
        <f>'Strategy Inputs'!D13</f>
        <v/>
      </c>
      <c r="E20" s="75" t="inlineStr">
        <is>
          <t>Remove from income.
M-1 Ln 7</t>
        </is>
      </c>
      <c r="F20" s="79" t="inlineStr">
        <is>
          <t>Strategy Inputs / PBC</t>
        </is>
      </c>
    </row>
    <row r="21" ht="31.5" customHeight="1" s="52">
      <c r="A21" s="88" t="inlineStr">
        <is>
          <t>AJE-18</t>
        </is>
      </c>
      <c r="B21" s="79" t="inlineStr">
        <is>
          <t>Remove Unrealized Gain
(Book only — not realized for tax)</t>
        </is>
      </c>
      <c r="C21" s="86">
        <f>'Strategy Inputs'!D14</f>
        <v/>
      </c>
      <c r="E21" s="75" t="inlineStr">
        <is>
          <t>Remove from income.
M-1 Ln 8</t>
        </is>
      </c>
      <c r="F21" s="79" t="inlineStr">
        <is>
          <t>Strategy Inputs / PBC</t>
        </is>
      </c>
    </row>
    <row r="22"/>
    <row r="23" ht="15" customHeight="1" s="52">
      <c r="A23" s="81" t="inlineStr">
        <is>
          <t>PROOF</t>
        </is>
      </c>
      <c r="B23" s="81" t="inlineStr">
        <is>
          <t>Total Debits − Total Credits (should be 0)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4472C4"/>
    <outlinePr summaryBelow="1" summaryRight="1"/>
    <pageSetUpPr fitToPage="0"/>
  </sheetPr>
  <dimension ref="A1:D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51" min="1" max="1"/>
    <col width="44" customWidth="1" style="51" min="2" max="2"/>
    <col width="18" customWidth="1" style="51" min="3" max="3"/>
    <col width="36" customWidth="1" style="51" min="4" max="4"/>
  </cols>
  <sheetData>
    <row r="1" ht="18" customHeight="1" s="52">
      <c r="A1" s="73" t="inlineStr">
        <is>
          <t>SCHEDULE M-1 — Reconciliation of Income (Loss) per Books With Income per Return</t>
        </is>
      </c>
      <c r="B1" s="78" t="n"/>
      <c r="C1" s="78" t="n"/>
      <c r="D1" s="74" t="n"/>
    </row>
    <row r="2" ht="15" customHeight="1" s="52">
      <c r="A2" s="75" t="inlineStr">
        <is>
          <t>Form 1120 — [ENTITY NAME]</t>
        </is>
      </c>
      <c r="B2" s="78" t="n"/>
      <c r="C2" s="78" t="n"/>
      <c r="D2" s="74" t="n"/>
    </row>
    <row r="3"/>
    <row r="4" ht="30" customHeight="1" s="52">
      <c r="A4" s="76" t="inlineStr">
        <is>
          <t>Line</t>
        </is>
      </c>
      <c r="B4" s="76" t="inlineStr">
        <is>
          <t>Description</t>
        </is>
      </c>
      <c r="C4" s="76" t="inlineStr">
        <is>
          <t>Amount</t>
        </is>
      </c>
      <c r="D4" s="76" t="inlineStr">
        <is>
          <t>Source / Notes</t>
        </is>
      </c>
    </row>
    <row r="5" ht="24" customHeight="1" s="52">
      <c r="A5" s="88" t="inlineStr">
        <is>
          <t>1</t>
        </is>
      </c>
      <c r="B5" s="79" t="inlineStr">
        <is>
          <t>Net income (loss) per books</t>
        </is>
      </c>
      <c r="C5" s="86">
        <f>'PBC - P&amp;L'!B56</f>
        <v/>
      </c>
      <c r="D5" s="75" t="inlineStr">
        <is>
          <t>PBC Net Income (Book)</t>
        </is>
      </c>
    </row>
    <row r="6" ht="24" customHeight="1" s="52">
      <c r="A6" s="88" t="inlineStr">
        <is>
          <t>2</t>
        </is>
      </c>
      <c r="B6" s="79" t="inlineStr">
        <is>
          <t>Federal income tax per books</t>
        </is>
      </c>
      <c r="C6" s="80" t="n"/>
      <c r="D6" s="75" t="inlineStr">
        <is>
          <t>Accrued federal tax (enter from books)</t>
        </is>
      </c>
    </row>
    <row r="7" ht="24" customHeight="1" s="52">
      <c r="A7" s="88" t="inlineStr">
        <is>
          <t>3</t>
        </is>
      </c>
      <c r="B7" s="79" t="inlineStr">
        <is>
          <t>Excess of capital losses over capital gains</t>
        </is>
      </c>
      <c r="C7" s="80" t="n"/>
      <c r="D7" s="75" t="inlineStr">
        <is>
          <t>C-corps: net cap loss not deductible</t>
        </is>
      </c>
    </row>
    <row r="8" ht="24" customHeight="1" s="52">
      <c r="A8" s="88" t="inlineStr">
        <is>
          <t>4</t>
        </is>
      </c>
      <c r="B8" s="79" t="inlineStr">
        <is>
          <t>Income subject to tax not recorded on books</t>
        </is>
      </c>
      <c r="C8" s="80" t="n"/>
      <c r="D8" s="75" t="inlineStr">
        <is>
          <t>(Rare)</t>
        </is>
      </c>
    </row>
    <row r="9" ht="24" customHeight="1" s="52">
      <c r="A9" s="88" t="inlineStr">
        <is>
          <t>5a</t>
        </is>
      </c>
      <c r="B9" s="79" t="inlineStr">
        <is>
          <t>Expenses on books not deducted — Tax-exempt interest expenses</t>
        </is>
      </c>
      <c r="C9" s="80" t="n"/>
      <c r="D9" s="75" t="inlineStr">
        <is>
          <t>Expenses allocable to tax-exempt income</t>
        </is>
      </c>
    </row>
    <row r="10" ht="24" customHeight="1" s="52">
      <c r="A10" s="88" t="inlineStr">
        <is>
          <t>5b</t>
        </is>
      </c>
      <c r="B10" s="79" t="inlineStr">
        <is>
          <t>Expenses on books not deducted — Depreciation</t>
        </is>
      </c>
      <c r="C10" s="86">
        <f>'Strategy Inputs'!D24</f>
        <v/>
      </c>
      <c r="D10" s="75" t="inlineStr">
        <is>
          <t>Book depr removed (replaced by tax)</t>
        </is>
      </c>
    </row>
    <row r="11" ht="24" customHeight="1" s="52">
      <c r="A11" s="88" t="inlineStr">
        <is>
          <t>5c</t>
        </is>
      </c>
      <c r="B11" s="79" t="inlineStr">
        <is>
          <t>Expenses on books not deducted — Meals (50%)</t>
        </is>
      </c>
      <c r="C11" s="86">
        <f>'Strategy Inputs'!D16</f>
        <v/>
      </c>
      <c r="D11" s="75" t="inlineStr">
        <is>
          <t>50% meals disallowance</t>
        </is>
      </c>
    </row>
    <row r="12" ht="24" customHeight="1" s="52">
      <c r="A12" s="88" t="inlineStr">
        <is>
          <t>5d</t>
        </is>
      </c>
      <c r="B12" s="79" t="inlineStr">
        <is>
          <t>Expenses on books not deducted — Entertainment</t>
        </is>
      </c>
      <c r="C12" s="86">
        <f>'Strategy Inputs'!D17</f>
        <v/>
      </c>
      <c r="D12" s="75" t="inlineStr">
        <is>
          <t>100% nondeductible</t>
        </is>
      </c>
    </row>
    <row r="13" ht="24" customHeight="1" s="52">
      <c r="A13" s="88" t="inlineStr">
        <is>
          <t>5e</t>
        </is>
      </c>
      <c r="B13" s="79" t="inlineStr">
        <is>
          <t>Expenses on books not deducted — Political</t>
        </is>
      </c>
      <c r="C13" s="86">
        <f>'Strategy Inputs'!C18</f>
        <v/>
      </c>
      <c r="D13" s="75" t="inlineStr">
        <is>
          <t>100% nondeductible</t>
        </is>
      </c>
    </row>
    <row r="14" ht="24" customHeight="1" s="52">
      <c r="A14" s="88" t="inlineStr">
        <is>
          <t>5f</t>
        </is>
      </c>
      <c r="B14" s="79" t="inlineStr">
        <is>
          <t>Expenses on books not deducted — Penalties</t>
        </is>
      </c>
      <c r="C14" s="86">
        <f>'Strategy Inputs'!D19</f>
        <v/>
      </c>
      <c r="D14" s="75" t="inlineStr">
        <is>
          <t>100% nondeductible</t>
        </is>
      </c>
    </row>
    <row r="15" ht="24" customHeight="1" s="52">
      <c r="A15" s="88" t="inlineStr">
        <is>
          <t>5g</t>
        </is>
      </c>
      <c r="B15" s="79" t="inlineStr">
        <is>
          <t>Expenses on books not deducted — Life insurance</t>
        </is>
      </c>
      <c r="C15" s="86">
        <f>'Strategy Inputs'!D20</f>
        <v/>
      </c>
      <c r="D15" s="75" t="inlineStr">
        <is>
          <t>Corp beneficiary = nondeductible</t>
        </is>
      </c>
    </row>
    <row r="16" ht="24" customHeight="1" s="52">
      <c r="A16" s="88" t="inlineStr">
        <is>
          <t>5h</t>
        </is>
      </c>
      <c r="B16" s="79" t="inlineStr">
        <is>
          <t>Expenses on books not deducted — Club dues</t>
        </is>
      </c>
      <c r="C16" s="86">
        <f>'Strategy Inputs'!D21</f>
        <v/>
      </c>
      <c r="D16" s="75" t="inlineStr">
        <is>
          <t>Always nondeductible</t>
        </is>
      </c>
    </row>
    <row r="17" ht="24" customHeight="1" s="52">
      <c r="A17" s="88" t="inlineStr">
        <is>
          <t>5i</t>
        </is>
      </c>
      <c r="B17" s="79" t="inlineStr">
        <is>
          <t>Expenses on books not deducted — Charitable excess</t>
        </is>
      </c>
      <c r="C17" s="86">
        <f>'Strategy Inputs'!D22</f>
        <v/>
      </c>
      <c r="D17" s="75" t="inlineStr">
        <is>
          <t>Amount exceeding 10% limit</t>
        </is>
      </c>
    </row>
    <row r="18" ht="24" customHeight="1" s="52">
      <c r="A18" s="88" t="inlineStr">
        <is>
          <t>6</t>
        </is>
      </c>
      <c r="B18" s="81" t="inlineStr">
        <is>
          <t>Total of lines 1 through 5</t>
        </is>
      </c>
      <c r="C18" s="82">
        <f>C5+C6+C7+C8+C9+C10+C11+C12+C13+C14+C15+C16+C17</f>
        <v/>
      </c>
      <c r="D18" s="75" t="inlineStr">
        <is>
          <t>Sum</t>
        </is>
      </c>
    </row>
    <row r="19" ht="24" customHeight="1" s="52">
      <c r="A19" s="88" t="inlineStr">
        <is>
          <t>7</t>
        </is>
      </c>
      <c r="B19" s="79" t="inlineStr">
        <is>
          <t>Income on return not in books — Tax-exempt interest</t>
        </is>
      </c>
      <c r="C19" s="86">
        <f>-'Strategy Inputs'!D13</f>
        <v/>
      </c>
      <c r="D19" s="75" t="inlineStr">
        <is>
          <t>Remove muni bond interest</t>
        </is>
      </c>
    </row>
    <row r="20" ht="24" customHeight="1" s="52">
      <c r="A20" s="88" t="inlineStr">
        <is>
          <t>8a</t>
        </is>
      </c>
      <c r="B20" s="79" t="inlineStr">
        <is>
          <t>Deductions on return not in books — Tax depreciation</t>
        </is>
      </c>
      <c r="C20" s="86">
        <f>'Strategy Inputs'!C23</f>
        <v/>
      </c>
      <c r="D20" s="75" t="inlineStr">
        <is>
          <t>MACRS/Bonus from 4562</t>
        </is>
      </c>
    </row>
    <row r="21" ht="24" customHeight="1" s="52">
      <c r="A21" s="88" t="inlineStr">
        <is>
          <t>8b</t>
        </is>
      </c>
      <c r="B21" s="79" t="inlineStr">
        <is>
          <t>Deductions on return not in books — §179</t>
        </is>
      </c>
      <c r="C21" s="86">
        <f>'Strategy Inputs'!C24</f>
        <v/>
      </c>
      <c r="D21" s="75" t="inlineStr">
        <is>
          <t>§179 election</t>
        </is>
      </c>
    </row>
    <row r="22" ht="24" customHeight="1" s="52">
      <c r="A22" s="88" t="inlineStr">
        <is>
          <t>8c</t>
        </is>
      </c>
      <c r="B22" s="79" t="inlineStr">
        <is>
          <t>Deductions on return not in books — Unrealized gain reversal</t>
        </is>
      </c>
      <c r="C22" s="86">
        <f>-'Strategy Inputs'!D14</f>
        <v/>
      </c>
      <c r="D22" s="75" t="inlineStr">
        <is>
          <t>Not realized for tax</t>
        </is>
      </c>
    </row>
    <row r="23" ht="24" customHeight="1" s="52">
      <c r="A23" s="88" t="inlineStr">
        <is>
          <t>9</t>
        </is>
      </c>
      <c r="B23" s="81" t="inlineStr">
        <is>
          <t>Total of lines 7 and 8</t>
        </is>
      </c>
      <c r="C23" s="82">
        <f>C19+C20+C21+C22</f>
        <v/>
      </c>
      <c r="D23" s="75" t="inlineStr">
        <is>
          <t>Sum</t>
        </is>
      </c>
    </row>
    <row r="24" ht="24" customHeight="1" s="52">
      <c r="A24" s="88" t="inlineStr">
        <is>
          <t>10</t>
        </is>
      </c>
      <c r="B24" s="81" t="inlineStr">
        <is>
          <t>Income (Ln 28, Pg 1) — Line 6 minus Line 9</t>
        </is>
      </c>
      <c r="C24" s="82">
        <f>C18-C23</f>
        <v/>
      </c>
      <c r="D24" s="75" t="inlineStr">
        <is>
          <t>Should tie to Pg 1 Ln 28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4472C4"/>
    <outlinePr summaryBelow="1" summaryRight="1"/>
    <pageSetUpPr fitToPage="0"/>
  </sheetPr>
  <dimension ref="A1:E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51" min="1" max="1"/>
    <col width="38" customWidth="1" style="51" min="2" max="2"/>
    <col width="18" customWidth="1" style="51" min="3" max="4"/>
    <col width="16" customWidth="1" style="51" min="5" max="5"/>
  </cols>
  <sheetData>
    <row r="1" ht="18" customHeight="1" s="52">
      <c r="A1" s="73" t="inlineStr">
        <is>
          <t>SCHEDULE L — Balance Sheets per Books</t>
        </is>
      </c>
      <c r="B1" s="78" t="n"/>
      <c r="C1" s="78" t="n"/>
      <c r="D1" s="78" t="n"/>
      <c r="E1" s="74" t="n"/>
    </row>
    <row r="2" ht="15" customHeight="1" s="52">
      <c r="A2" s="75" t="inlineStr">
        <is>
          <t>Form 1120 — [ENTITY NAME] — Tax Year [YEAR]</t>
        </is>
      </c>
      <c r="B2" s="78" t="n"/>
      <c r="C2" s="78" t="n"/>
      <c r="D2" s="78" t="n"/>
      <c r="E2" s="74" t="n"/>
    </row>
    <row r="3"/>
    <row r="4" ht="30" customHeight="1" s="52">
      <c r="A4" s="76" t="inlineStr">
        <is>
          <t>Ln</t>
        </is>
      </c>
      <c r="B4" s="76" t="inlineStr">
        <is>
          <t>Description</t>
        </is>
      </c>
      <c r="C4" s="76" t="inlineStr">
        <is>
          <t>(a)/(b) BOY</t>
        </is>
      </c>
      <c r="D4" s="76" t="inlineStr">
        <is>
          <t>(c)/(d) EOY</t>
        </is>
      </c>
      <c r="E4" s="76" t="inlineStr">
        <is>
          <t>Variance</t>
        </is>
      </c>
    </row>
    <row r="5" ht="21.75" customHeight="1" s="52">
      <c r="A5" s="77" t="inlineStr">
        <is>
          <t>ASSETS</t>
        </is>
      </c>
      <c r="B5" s="78" t="n"/>
      <c r="C5" s="78" t="n"/>
      <c r="D5" s="78" t="n"/>
      <c r="E5" s="78" t="n"/>
    </row>
    <row r="6" ht="24" customHeight="1" s="52">
      <c r="A6" s="84" t="inlineStr">
        <is>
          <t>1</t>
        </is>
      </c>
      <c r="B6" s="79" t="inlineStr">
        <is>
          <t>Cash</t>
        </is>
      </c>
      <c r="C6" s="89" t="n"/>
      <c r="D6" s="86">
        <f>'PBC - Balance Sheet'!B6</f>
        <v/>
      </c>
      <c r="E6" s="80">
        <f>D6-C6</f>
        <v/>
      </c>
    </row>
    <row r="7" ht="24" customHeight="1" s="52">
      <c r="A7" s="84" t="inlineStr">
        <is>
          <t>2a</t>
        </is>
      </c>
      <c r="B7" s="79" t="inlineStr">
        <is>
          <t>Trade notes &amp; accounts receivable (gross)</t>
        </is>
      </c>
      <c r="C7" s="89" t="n"/>
      <c r="D7" s="86">
        <f>'PBC - Balance Sheet'!B7</f>
        <v/>
      </c>
      <c r="E7" s="80">
        <f>D7-C7</f>
        <v/>
      </c>
    </row>
    <row r="8" ht="24" customHeight="1" s="52">
      <c r="A8" s="84" t="inlineStr">
        <is>
          <t>2b</t>
        </is>
      </c>
      <c r="B8" s="79" t="inlineStr">
        <is>
          <t>Less: Allowance for bad debts</t>
        </is>
      </c>
      <c r="C8" s="89" t="n"/>
      <c r="D8" s="86">
        <f>'PBC - Balance Sheet'!B8</f>
        <v/>
      </c>
      <c r="E8" s="80">
        <f>D8-C8</f>
        <v/>
      </c>
    </row>
    <row r="9" ht="24" customHeight="1" s="52">
      <c r="A9" s="84" t="inlineStr">
        <is>
          <t>3</t>
        </is>
      </c>
      <c r="B9" s="79" t="inlineStr">
        <is>
          <t>Inventories</t>
        </is>
      </c>
      <c r="C9" s="89" t="n"/>
      <c r="D9" s="86">
        <f>'PBC - Balance Sheet'!B9</f>
        <v/>
      </c>
      <c r="E9" s="80">
        <f>D9-C9</f>
        <v/>
      </c>
    </row>
    <row r="10" ht="24" customHeight="1" s="52">
      <c r="A10" s="84" t="inlineStr">
        <is>
          <t>4</t>
        </is>
      </c>
      <c r="B10" s="79" t="inlineStr">
        <is>
          <t>U.S. government obligations</t>
        </is>
      </c>
    </row>
    <row r="11" ht="24" customHeight="1" s="52">
      <c r="A11" s="84" t="inlineStr">
        <is>
          <t>5a</t>
        </is>
      </c>
      <c r="B11" s="79" t="inlineStr">
        <is>
          <t>Tax-exempt securities</t>
        </is>
      </c>
      <c r="C11" s="89" t="n"/>
      <c r="D11" s="86">
        <f>'PBC - Balance Sheet'!B11</f>
        <v/>
      </c>
      <c r="E11" s="80">
        <f>D11-C11</f>
        <v/>
      </c>
    </row>
    <row r="12" ht="24" customHeight="1" s="52">
      <c r="A12" s="84" t="inlineStr">
        <is>
          <t>6</t>
        </is>
      </c>
      <c r="B12" s="79" t="inlineStr">
        <is>
          <t>Other current assets</t>
        </is>
      </c>
      <c r="C12" s="89" t="n"/>
      <c r="D12" s="86">
        <f>'PBC - Balance Sheet'!B10++'PBC - Balance Sheet'!B12</f>
        <v/>
      </c>
      <c r="E12" s="80">
        <f>D12-C12</f>
        <v/>
      </c>
    </row>
    <row r="13" ht="24" customHeight="1" s="52">
      <c r="A13" s="84" t="inlineStr">
        <is>
          <t>7</t>
        </is>
      </c>
      <c r="B13" s="79" t="inlineStr">
        <is>
          <t>Loans to shareholders</t>
        </is>
      </c>
    </row>
    <row r="14" ht="24" customHeight="1" s="52">
      <c r="A14" s="84" t="inlineStr">
        <is>
          <t>8</t>
        </is>
      </c>
      <c r="B14" s="79" t="inlineStr">
        <is>
          <t>Mortgage and real estate loans</t>
        </is>
      </c>
    </row>
    <row r="15" ht="24" customHeight="1" s="52">
      <c r="A15" s="84" t="inlineStr">
        <is>
          <t>9</t>
        </is>
      </c>
      <c r="B15" s="79" t="inlineStr">
        <is>
          <t>Other investments</t>
        </is>
      </c>
      <c r="C15" s="89" t="n"/>
      <c r="D15" s="86">
        <f>'PBC - Balance Sheet'!B19</f>
        <v/>
      </c>
      <c r="E15" s="80">
        <f>D15-C15</f>
        <v/>
      </c>
    </row>
    <row r="16" ht="24" customHeight="1" s="52">
      <c r="A16" s="84" t="inlineStr">
        <is>
          <t>10a</t>
        </is>
      </c>
      <c r="B16" s="79" t="inlineStr">
        <is>
          <t>Buildings and other depreciable assets (a)</t>
        </is>
      </c>
      <c r="C16" s="89" t="n"/>
      <c r="D16" s="86">
        <f>'PBC - Balance Sheet'!B14+'PBC - Balance Sheet'!B15</f>
        <v/>
      </c>
      <c r="E16" s="80">
        <f>D16-C16</f>
        <v/>
      </c>
    </row>
    <row r="17" ht="24" customHeight="1" s="52">
      <c r="A17" s="84" t="inlineStr">
        <is>
          <t>10b</t>
        </is>
      </c>
      <c r="B17" s="79" t="inlineStr">
        <is>
          <t>Less: Accumulated depreciation (b)</t>
        </is>
      </c>
      <c r="C17" s="89" t="n"/>
      <c r="D17" s="86">
        <f>'PBC - Balance Sheet'!B16</f>
        <v/>
      </c>
      <c r="E17" s="80">
        <f>D17-C17</f>
        <v/>
      </c>
    </row>
    <row r="18" ht="24" customHeight="1" s="52">
      <c r="A18" s="84" t="inlineStr">
        <is>
          <t>11a</t>
        </is>
      </c>
      <c r="B18" s="79" t="inlineStr">
        <is>
          <t>Depletable assets</t>
        </is>
      </c>
    </row>
    <row r="19" ht="24" customHeight="1" s="52">
      <c r="A19" s="84" t="inlineStr">
        <is>
          <t>11b</t>
        </is>
      </c>
      <c r="B19" s="79" t="inlineStr">
        <is>
          <t>Less: Accumulated depletion</t>
        </is>
      </c>
    </row>
    <row r="20" ht="24" customHeight="1" s="52">
      <c r="A20" s="84" t="inlineStr">
        <is>
          <t>12</t>
        </is>
      </c>
      <c r="B20" s="79" t="inlineStr">
        <is>
          <t>Land (net of any amortization)</t>
        </is>
      </c>
      <c r="C20" s="89" t="n"/>
      <c r="D20" s="86">
        <f>'PBC - Balance Sheet'!B13</f>
        <v/>
      </c>
      <c r="E20" s="80">
        <f>D20-C20</f>
        <v/>
      </c>
    </row>
    <row r="21" ht="24" customHeight="1" s="52">
      <c r="A21" s="84" t="inlineStr">
        <is>
          <t>13a</t>
        </is>
      </c>
      <c r="B21" s="79" t="inlineStr">
        <is>
          <t>Intangible assets (a)</t>
        </is>
      </c>
      <c r="C21" s="89" t="n"/>
      <c r="D21" s="86">
        <f>'PBC - Balance Sheet'!B17</f>
        <v/>
      </c>
      <c r="E21" s="80">
        <f>D21-C21</f>
        <v/>
      </c>
    </row>
    <row r="22" ht="24" customHeight="1" s="52">
      <c r="A22" s="84" t="inlineStr">
        <is>
          <t>13b</t>
        </is>
      </c>
      <c r="B22" s="79" t="inlineStr">
        <is>
          <t>Less: Accumulated amortization (b)</t>
        </is>
      </c>
      <c r="C22" s="89" t="n"/>
      <c r="D22" s="86">
        <f>'PBC - Balance Sheet'!B18</f>
        <v/>
      </c>
      <c r="E22" s="80">
        <f>D22-C22</f>
        <v/>
      </c>
    </row>
    <row r="23" ht="24" customHeight="1" s="52">
      <c r="A23" s="84" t="inlineStr">
        <is>
          <t>14</t>
        </is>
      </c>
      <c r="B23" s="79" t="inlineStr">
        <is>
          <t>Other assets</t>
        </is>
      </c>
      <c r="C23" s="89" t="n"/>
      <c r="D23" s="86">
        <f>'PBC - Balance Sheet'!B19</f>
        <v/>
      </c>
      <c r="E23" s="80">
        <f>D23-C23</f>
        <v/>
      </c>
    </row>
    <row r="24" ht="24" customHeight="1" s="52">
      <c r="A24" s="84" t="inlineStr">
        <is>
          <t>15</t>
        </is>
      </c>
      <c r="B24" s="81" t="inlineStr">
        <is>
          <t>Total assets</t>
        </is>
      </c>
      <c r="C24" s="90">
        <f>SUM(C6:C23)</f>
        <v/>
      </c>
      <c r="D24" s="90">
        <f>SUM(D6:D23)</f>
        <v/>
      </c>
    </row>
    <row r="25" ht="21.75" customHeight="1" s="52">
      <c r="A25" s="77" t="inlineStr">
        <is>
          <t>LIABILITIES AND SHAREHOLDERS' EQUITY</t>
        </is>
      </c>
      <c r="B25" s="78" t="n"/>
      <c r="C25" s="78" t="n"/>
      <c r="D25" s="78" t="n"/>
      <c r="E25" s="78" t="n"/>
    </row>
    <row r="26" ht="24" customHeight="1" s="52">
      <c r="A26" s="84" t="inlineStr">
        <is>
          <t>16</t>
        </is>
      </c>
      <c r="B26" s="79" t="inlineStr">
        <is>
          <t>Accounts payable</t>
        </is>
      </c>
      <c r="C26" s="89" t="n"/>
      <c r="D26" s="86">
        <f>'PBC - Balance Sheet'!B23</f>
        <v/>
      </c>
      <c r="E26" s="80">
        <f>D26-C26</f>
        <v/>
      </c>
    </row>
    <row r="27" ht="24" customHeight="1" s="52">
      <c r="A27" s="84" t="inlineStr">
        <is>
          <t>17</t>
        </is>
      </c>
      <c r="B27" s="79" t="inlineStr">
        <is>
          <t>Mortgages, notes, bonds payable (&lt;1 yr)</t>
        </is>
      </c>
      <c r="C27" s="89" t="n"/>
      <c r="D27" s="86">
        <f>'PBC - Balance Sheet'!B24</f>
        <v/>
      </c>
      <c r="E27" s="80">
        <f>D27-C27</f>
        <v/>
      </c>
    </row>
    <row r="28" ht="24" customHeight="1" s="52">
      <c r="A28" s="84" t="inlineStr">
        <is>
          <t>18</t>
        </is>
      </c>
      <c r="B28" s="79" t="inlineStr">
        <is>
          <t>Other current liabilities</t>
        </is>
      </c>
      <c r="C28" s="89" t="n"/>
      <c r="D28" s="86">
        <f>'PBC - Balance Sheet'!B25</f>
        <v/>
      </c>
      <c r="E28" s="80">
        <f>D28-C28</f>
        <v/>
      </c>
    </row>
    <row r="29" ht="24" customHeight="1" s="52">
      <c r="A29" s="84" t="inlineStr">
        <is>
          <t>19</t>
        </is>
      </c>
      <c r="B29" s="79" t="inlineStr">
        <is>
          <t>Loans from shareholders</t>
        </is>
      </c>
      <c r="C29" s="89" t="n"/>
      <c r="D29" s="86">
        <f>'PBC - Balance Sheet'!B26</f>
        <v/>
      </c>
      <c r="E29" s="80">
        <f>D29-C29</f>
        <v/>
      </c>
    </row>
    <row r="30" ht="24" customHeight="1" s="52">
      <c r="A30" s="84" t="inlineStr">
        <is>
          <t>20</t>
        </is>
      </c>
      <c r="B30" s="79" t="inlineStr">
        <is>
          <t>Mortgages, notes, bonds payable (≥1 yr)</t>
        </is>
      </c>
      <c r="C30" s="89" t="n"/>
      <c r="D30" s="86">
        <f>'PBC - Balance Sheet'!B27</f>
        <v/>
      </c>
      <c r="E30" s="80">
        <f>D30-C30</f>
        <v/>
      </c>
    </row>
    <row r="31" ht="24" customHeight="1" s="52">
      <c r="A31" s="84" t="inlineStr">
        <is>
          <t>21</t>
        </is>
      </c>
      <c r="B31" s="79" t="inlineStr">
        <is>
          <t>Other liabilities</t>
        </is>
      </c>
      <c r="C31" s="89" t="n"/>
      <c r="D31" s="86">
        <f>'PBC - Balance Sheet'!B28</f>
        <v/>
      </c>
      <c r="E31" s="80">
        <f>D31-C31</f>
        <v/>
      </c>
    </row>
    <row r="32" ht="24" customHeight="1" s="52">
      <c r="A32" s="84" t="inlineStr">
        <is>
          <t>22</t>
        </is>
      </c>
      <c r="B32" s="79" t="inlineStr">
        <is>
          <t>Capital stock (a) preferred / (b) common</t>
        </is>
      </c>
      <c r="C32" s="89" t="n"/>
      <c r="D32" s="86">
        <f>'PBC - Balance Sheet'!B31</f>
        <v/>
      </c>
      <c r="E32" s="80">
        <f>D32-C32</f>
        <v/>
      </c>
    </row>
    <row r="33" ht="24" customHeight="1" s="52">
      <c r="A33" s="84" t="inlineStr">
        <is>
          <t>23</t>
        </is>
      </c>
      <c r="B33" s="79" t="inlineStr">
        <is>
          <t>Additional paid-in capital</t>
        </is>
      </c>
      <c r="C33" s="89" t="n"/>
      <c r="D33" s="86">
        <f>'PBC - Balance Sheet'!B32</f>
        <v/>
      </c>
      <c r="E33" s="80">
        <f>D33-C33</f>
        <v/>
      </c>
    </row>
    <row r="34" ht="24" customHeight="1" s="52">
      <c r="A34" s="84" t="inlineStr">
        <is>
          <t>24</t>
        </is>
      </c>
      <c r="B34" s="79" t="inlineStr">
        <is>
          <t>Retained earnings — Appropriated</t>
        </is>
      </c>
    </row>
    <row r="35" ht="24" customHeight="1" s="52">
      <c r="A35" s="84" t="inlineStr">
        <is>
          <t>25</t>
        </is>
      </c>
      <c r="B35" s="79" t="inlineStr">
        <is>
          <t>Retained earnings — Unappropriated</t>
        </is>
      </c>
      <c r="C35" s="89" t="n"/>
      <c r="D35" s="86">
        <f>'PBC - Balance Sheet'!B33+'PBC - Balance Sheet'!B34</f>
        <v/>
      </c>
      <c r="E35" s="80">
        <f>D35-C35</f>
        <v/>
      </c>
    </row>
    <row r="36" ht="24" customHeight="1" s="52">
      <c r="A36" s="84" t="inlineStr">
        <is>
          <t>26</t>
        </is>
      </c>
      <c r="B36" s="79" t="inlineStr">
        <is>
          <t>Adjustments to shareholders' equity</t>
        </is>
      </c>
    </row>
    <row r="37" ht="24" customHeight="1" s="52">
      <c r="A37" s="84" t="inlineStr">
        <is>
          <t>27</t>
        </is>
      </c>
      <c r="B37" s="79" t="inlineStr">
        <is>
          <t>Less: Cost of treasury stock</t>
        </is>
      </c>
      <c r="C37" s="89" t="n"/>
      <c r="D37" s="86">
        <f>'PBC - Balance Sheet'!B35</f>
        <v/>
      </c>
      <c r="E37" s="80">
        <f>D37-C37</f>
        <v/>
      </c>
    </row>
    <row r="38" ht="24" customHeight="1" s="52">
      <c r="A38" s="84" t="inlineStr">
        <is>
          <t>28</t>
        </is>
      </c>
      <c r="B38" s="81" t="inlineStr">
        <is>
          <t>Total liabilities and shareholders' equity</t>
        </is>
      </c>
      <c r="C38" s="90">
        <f>SUM(C26:C37)</f>
        <v/>
      </c>
      <c r="D38" s="90">
        <f>SUM(D26:D37)</f>
        <v/>
      </c>
    </row>
    <row r="39"/>
    <row r="40" ht="27.75" customHeight="1" s="52">
      <c r="A40" s="81" t="n"/>
      <c r="B40" s="81" t="inlineStr">
        <is>
          <t>Sch L Check: Assets − Liabilities+Equity (should be 0)</t>
        </is>
      </c>
      <c r="C40" s="83">
        <f>C24-C38</f>
        <v/>
      </c>
      <c r="D40" s="83">
        <f>D24-D38</f>
        <v/>
      </c>
    </row>
  </sheetData>
  <mergeCells count="4">
    <mergeCell ref="A2:E2"/>
    <mergeCell ref="A1:E1"/>
    <mergeCell ref="A25:E25"/>
    <mergeCell ref="A5:E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4472C4"/>
    <outlinePr summaryBelow="1" summaryRight="1"/>
    <pageSetUpPr fitToPage="0"/>
  </sheetPr>
  <dimension ref="A1:C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51" min="1" max="1"/>
    <col width="48" customWidth="1" style="51" min="2" max="2"/>
    <col width="20" customWidth="1" style="51" min="3" max="3"/>
  </cols>
  <sheetData>
    <row r="1" ht="35.25" customHeight="1" s="52">
      <c r="A1" s="73" t="inlineStr">
        <is>
          <t>SCHEDULE M-2 — Analysis of Unappropriated Retained Earnings per Books (Ln 25, Sch L)</t>
        </is>
      </c>
      <c r="B1" s="78" t="n"/>
      <c r="C1" s="74" t="n"/>
    </row>
    <row r="2" ht="15" customHeight="1" s="52">
      <c r="A2" s="75" t="inlineStr">
        <is>
          <t>Form 1120 — [ENTITY NAME] — Tax Year [YEAR]</t>
        </is>
      </c>
      <c r="B2" s="78" t="n"/>
      <c r="C2" s="74" t="n"/>
    </row>
    <row r="3"/>
    <row r="4" ht="30" customHeight="1" s="52">
      <c r="A4" s="76" t="inlineStr">
        <is>
          <t>Line</t>
        </is>
      </c>
      <c r="B4" s="76" t="inlineStr">
        <is>
          <t>Description</t>
        </is>
      </c>
      <c r="C4" s="76" t="inlineStr">
        <is>
          <t>Amount</t>
        </is>
      </c>
    </row>
    <row r="5" ht="25.5" customHeight="1" s="52">
      <c r="A5" s="88" t="inlineStr">
        <is>
          <t>1</t>
        </is>
      </c>
      <c r="B5" s="79" t="inlineStr">
        <is>
          <t>Balance at beginning of year</t>
        </is>
      </c>
      <c r="C5" s="89" t="n"/>
    </row>
    <row r="6" ht="25.5" customHeight="1" s="52">
      <c r="A6" s="88" t="inlineStr">
        <is>
          <t>2</t>
        </is>
      </c>
      <c r="B6" s="79" t="inlineStr">
        <is>
          <t>Net income (loss) per books</t>
        </is>
      </c>
      <c r="C6" s="86">
        <f>'PBC - P&amp;L'!B56</f>
        <v/>
      </c>
    </row>
    <row r="7" ht="25.5" customHeight="1" s="52">
      <c r="A7" s="88" t="inlineStr">
        <is>
          <t>3</t>
        </is>
      </c>
      <c r="B7" s="79" t="inlineStr">
        <is>
          <t>Other increases (itemize)</t>
        </is>
      </c>
      <c r="C7" s="87" t="n"/>
    </row>
    <row r="8" ht="25.5" customHeight="1" s="52">
      <c r="A8" s="88" t="inlineStr">
        <is>
          <t>4</t>
        </is>
      </c>
      <c r="B8" s="81" t="inlineStr">
        <is>
          <t>Total of lines 1, 2, and 3</t>
        </is>
      </c>
      <c r="C8" s="82">
        <f>C5+C6+C7</f>
        <v/>
      </c>
    </row>
    <row r="9" ht="25.5" customHeight="1" s="52">
      <c r="A9" s="88" t="inlineStr">
        <is>
          <t>5a</t>
        </is>
      </c>
      <c r="B9" s="79" t="inlineStr">
        <is>
          <t>Distributions — Cash</t>
        </is>
      </c>
      <c r="C9" s="87" t="n"/>
    </row>
    <row r="10" ht="25.5" customHeight="1" s="52">
      <c r="A10" s="88" t="inlineStr">
        <is>
          <t>5b</t>
        </is>
      </c>
      <c r="B10" s="79" t="inlineStr">
        <is>
          <t>Distributions — Stock</t>
        </is>
      </c>
      <c r="C10" s="87" t="n"/>
    </row>
    <row r="11" ht="25.5" customHeight="1" s="52">
      <c r="A11" s="88" t="inlineStr">
        <is>
          <t>5c</t>
        </is>
      </c>
      <c r="B11" s="79" t="inlineStr">
        <is>
          <t>Distributions — Property</t>
        </is>
      </c>
      <c r="C11" s="87" t="n"/>
    </row>
    <row r="12" ht="25.5" customHeight="1" s="52">
      <c r="A12" s="88" t="inlineStr">
        <is>
          <t>6</t>
        </is>
      </c>
      <c r="B12" s="79" t="inlineStr">
        <is>
          <t>Other decreases (itemize)</t>
        </is>
      </c>
      <c r="C12" s="87" t="n"/>
    </row>
    <row r="13" ht="25.5" customHeight="1" s="52">
      <c r="A13" s="88" t="inlineStr">
        <is>
          <t>7</t>
        </is>
      </c>
      <c r="B13" s="81" t="inlineStr">
        <is>
          <t>Total of lines 5 and 6</t>
        </is>
      </c>
      <c r="C13" s="82">
        <f>C9+C10+C11+C12</f>
        <v/>
      </c>
    </row>
    <row r="14" ht="25.5" customHeight="1" s="52">
      <c r="A14" s="88" t="inlineStr">
        <is>
          <t>8</t>
        </is>
      </c>
      <c r="B14" s="81" t="inlineStr">
        <is>
          <t>Balance at end of year (Ln 4 − Ln 7)</t>
        </is>
      </c>
      <c r="C14" s="82">
        <f>C8-C13</f>
        <v/>
      </c>
    </row>
    <row r="15"/>
    <row r="16" ht="27.75" customHeight="1" s="52">
      <c r="A16" s="81" t="inlineStr">
        <is>
          <t>M-2 NOTES:</t>
        </is>
      </c>
      <c r="B16" s="91" t="inlineStr">
        <is>
          <t>Line 8 must equal Sch L Line 25(d). If not, check: (1) beginning balance from PY, (2) net income ties to Pg 1 books, (3) all distributions recorded.</t>
        </is>
      </c>
      <c r="C16" s="78" t="n"/>
    </row>
  </sheetData>
  <mergeCells count="3">
    <mergeCell ref="A1:C1"/>
    <mergeCell ref="B16:C16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CC0000"/>
    <outlinePr summaryBelow="1" summaryRight="1"/>
    <pageSetUpPr fitToPage="0"/>
  </sheetPr>
  <dimension ref="A1:D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8" customWidth="1" style="51" min="1" max="1"/>
    <col width="44" customWidth="1" style="51" min="2" max="2"/>
    <col width="20" customWidth="1" style="51" min="3" max="3"/>
    <col width="36" customWidth="1" style="51" min="4" max="4"/>
  </cols>
  <sheetData>
    <row r="1" ht="18" customHeight="1" s="52">
      <c r="A1" s="92" t="inlineStr">
        <is>
          <t>SCHEDULE J — TAX COMPUTATION AND PAYMENT</t>
        </is>
      </c>
      <c r="B1" s="78" t="n"/>
      <c r="C1" s="78" t="n"/>
      <c r="D1" s="74" t="n"/>
    </row>
    <row r="2" ht="15" customHeight="1" s="52">
      <c r="A2" s="75" t="inlineStr">
        <is>
          <t>Form 1120 — C-Corps pay tax at 21% flat rate</t>
        </is>
      </c>
      <c r="B2" s="78" t="n"/>
      <c r="C2" s="78" t="n"/>
      <c r="D2" s="74" t="n"/>
    </row>
    <row r="3"/>
    <row r="4" ht="30" customHeight="1" s="52">
      <c r="A4" s="76" t="inlineStr">
        <is>
          <t>Line</t>
        </is>
      </c>
      <c r="B4" s="76" t="inlineStr">
        <is>
          <t>Description</t>
        </is>
      </c>
      <c r="C4" s="76" t="inlineStr">
        <is>
          <t>Amount</t>
        </is>
      </c>
      <c r="D4" s="76" t="inlineStr">
        <is>
          <t>Notes</t>
        </is>
      </c>
    </row>
    <row r="5" ht="24" customHeight="1" s="52">
      <c r="A5" s="88" t="inlineStr">
        <is>
          <t>2</t>
        </is>
      </c>
      <c r="B5" s="79" t="inlineStr">
        <is>
          <t>Income tax (21% × Pg 1 Ln 30 taxable income)</t>
        </is>
      </c>
      <c r="C5" s="51">
        <f>'Working Trial Balance'!D87*0.21</f>
        <v/>
      </c>
      <c r="D5" s="75" t="inlineStr">
        <is>
          <t>Flat 21% rate. Enter Pg 1 Ln 30 × 0.21</t>
        </is>
      </c>
    </row>
    <row r="6" ht="24" customHeight="1" s="52">
      <c r="A6" s="88" t="inlineStr">
        <is>
          <t>3</t>
        </is>
      </c>
      <c r="B6" s="79" t="inlineStr">
        <is>
          <t>Alternative minimum tax (if applicable)</t>
        </is>
      </c>
      <c r="C6" s="87" t="n"/>
      <c r="D6" s="75" t="inlineStr">
        <is>
          <t>AMT repealed for corps post-TCJA but CAMT may apply if &gt;$1B avg revenue</t>
        </is>
      </c>
    </row>
    <row r="7" ht="24" customHeight="1" s="52">
      <c r="A7" s="88" t="inlineStr">
        <is>
          <t>4</t>
        </is>
      </c>
      <c r="B7" s="81" t="inlineStr">
        <is>
          <t>Total — add lines 2 and 3</t>
        </is>
      </c>
      <c r="C7" s="82">
        <f>C5+C6</f>
        <v/>
      </c>
      <c r="D7" s="75" t="n"/>
    </row>
    <row r="8" ht="24" customHeight="1" s="52">
      <c r="A8" s="88" t="inlineStr">
        <is>
          <t>5a</t>
        </is>
      </c>
      <c r="B8" s="79" t="inlineStr">
        <is>
          <t>Foreign tax credit (Form 1118)</t>
        </is>
      </c>
      <c r="C8" s="87" t="n"/>
      <c r="D8" s="75" t="n"/>
    </row>
    <row r="9" ht="24" customHeight="1" s="52">
      <c r="A9" s="88" t="inlineStr">
        <is>
          <t>5b</t>
        </is>
      </c>
      <c r="B9" s="79" t="inlineStr">
        <is>
          <t>General business credit (Form 3800)</t>
        </is>
      </c>
      <c r="C9" s="87" t="n"/>
      <c r="D9" s="75" t="n"/>
    </row>
    <row r="10" ht="24" customHeight="1" s="52">
      <c r="A10" s="88" t="inlineStr">
        <is>
          <t>5c</t>
        </is>
      </c>
      <c r="B10" s="79" t="inlineStr">
        <is>
          <t>Credit for prior year minimum tax (Form 8827)</t>
        </is>
      </c>
      <c r="C10" s="87" t="n"/>
      <c r="D10" s="75" t="n"/>
    </row>
    <row r="11" ht="24" customHeight="1" s="52">
      <c r="A11" s="88" t="inlineStr">
        <is>
          <t>5d</t>
        </is>
      </c>
      <c r="B11" s="79" t="inlineStr">
        <is>
          <t>Other credits</t>
        </is>
      </c>
      <c r="C11" s="87" t="n"/>
      <c r="D11" s="75" t="n"/>
    </row>
    <row r="12" ht="24" customHeight="1" s="52">
      <c r="A12" s="88" t="inlineStr">
        <is>
          <t>6</t>
        </is>
      </c>
      <c r="B12" s="81" t="inlineStr">
        <is>
          <t>Total credits</t>
        </is>
      </c>
      <c r="C12" s="82">
        <f>SUM(C8:C11)</f>
        <v/>
      </c>
      <c r="D12" s="75" t="n"/>
    </row>
    <row r="13" ht="24" customHeight="1" s="52">
      <c r="A13" s="88" t="inlineStr">
        <is>
          <t>7</t>
        </is>
      </c>
      <c r="B13" s="81" t="inlineStr">
        <is>
          <t>Subtract Line 6 from Line 4</t>
        </is>
      </c>
      <c r="C13" s="82">
        <f>C7-C12</f>
        <v/>
      </c>
      <c r="D13" s="75" t="n"/>
    </row>
    <row r="14" ht="24" customHeight="1" s="52">
      <c r="A14" s="88" t="inlineStr">
        <is>
          <t>8</t>
        </is>
      </c>
      <c r="B14" s="79" t="inlineStr">
        <is>
          <t>Personal holding company tax (Sch PH)</t>
        </is>
      </c>
      <c r="C14" s="87" t="n"/>
      <c r="D14" s="75" t="inlineStr">
        <is>
          <t>Only if PHC</t>
        </is>
      </c>
    </row>
    <row r="15" ht="24" customHeight="1" s="52">
      <c r="A15" s="88" t="inlineStr">
        <is>
          <t>9a</t>
        </is>
      </c>
      <c r="B15" s="79" t="inlineStr">
        <is>
          <t>Recapture of investment credit</t>
        </is>
      </c>
      <c r="C15" s="87" t="n"/>
      <c r="D15" s="75" t="n"/>
    </row>
    <row r="16" ht="24" customHeight="1" s="52">
      <c r="A16" s="88" t="inlineStr">
        <is>
          <t>9b</t>
        </is>
      </c>
      <c r="B16" s="79" t="inlineStr">
        <is>
          <t>Recapture of low-income housing credit</t>
        </is>
      </c>
      <c r="C16" s="87" t="n"/>
      <c r="D16" s="75" t="n"/>
    </row>
    <row r="17" ht="24" customHeight="1" s="52">
      <c r="A17" s="88" t="inlineStr">
        <is>
          <t>9c</t>
        </is>
      </c>
      <c r="B17" s="79" t="inlineStr">
        <is>
          <t>Interest due under look-back method</t>
        </is>
      </c>
      <c r="C17" s="87" t="n"/>
      <c r="D17" s="75" t="n"/>
    </row>
    <row r="18" ht="24" customHeight="1" s="52">
      <c r="A18" s="88" t="inlineStr">
        <is>
          <t>9d</t>
        </is>
      </c>
      <c r="B18" s="79" t="inlineStr">
        <is>
          <t>Other taxes</t>
        </is>
      </c>
      <c r="C18" s="87" t="n"/>
      <c r="D18" s="75" t="n"/>
    </row>
    <row r="19" ht="24" customHeight="1" s="52">
      <c r="A19" s="88" t="inlineStr">
        <is>
          <t>10</t>
        </is>
      </c>
      <c r="B19" s="81" t="inlineStr">
        <is>
          <t>Total tax — add lines 7 through 9d</t>
        </is>
      </c>
      <c r="C19" s="82">
        <f>C13+C14+C15+C16+C17+C18</f>
        <v/>
      </c>
      <c r="D19" s="75" t="n"/>
    </row>
    <row r="20"/>
    <row r="21" ht="21.75" customHeight="1" s="52">
      <c r="A21" s="77" t="inlineStr">
        <is>
          <t>PAYMENTS AND CREDITS</t>
        </is>
      </c>
      <c r="B21" s="78" t="n"/>
      <c r="C21" s="78" t="n"/>
      <c r="D21" s="78" t="n"/>
    </row>
    <row r="22" ht="24" customHeight="1" s="52">
      <c r="A22" s="88" t="inlineStr">
        <is>
          <t>11</t>
        </is>
      </c>
      <c r="B22" s="79" t="inlineStr">
        <is>
          <t>Estimated tax payments + overpayment from PY</t>
        </is>
      </c>
      <c r="C22" s="87" t="n"/>
      <c r="D22" s="75" t="n"/>
    </row>
    <row r="23" ht="24" customHeight="1" s="52">
      <c r="A23" s="88" t="inlineStr">
        <is>
          <t>12</t>
        </is>
      </c>
      <c r="B23" s="81" t="inlineStr">
        <is>
          <t>Total tax (to Form 1120 Ln 31)</t>
        </is>
      </c>
      <c r="C23" s="82">
        <f>C19</f>
        <v/>
      </c>
      <c r="D23" s="75" t="inlineStr">
        <is>
          <t>Ties to Pg 1 Ln 31</t>
        </is>
      </c>
    </row>
  </sheetData>
  <mergeCells count="3">
    <mergeCell ref="A1:D1"/>
    <mergeCell ref="A2:D2"/>
    <mergeCell ref="A21:D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808080"/>
    <outlinePr summaryBelow="1" summaryRight="1"/>
    <pageSetUpPr fitToPage="0"/>
  </sheetPr>
  <dimension ref="A1:D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52.5" customHeight="1" s="52">
      <c r="A1" s="93" t="inlineStr">
        <is>
          <t>SCHEDULE M-3 — Net Income (Loss) Reconciliation for Corps With Total Assets ≥ $10M</t>
        </is>
      </c>
      <c r="B1" s="78" t="n"/>
      <c r="C1" s="78" t="n"/>
      <c r="D1" s="74" t="n"/>
    </row>
    <row r="2" ht="15" customHeight="1" s="52">
      <c r="A2" s="94" t="n"/>
      <c r="B2" s="94" t="n"/>
      <c r="C2" s="94" t="n"/>
      <c r="D2" s="94" t="n"/>
    </row>
    <row r="3" ht="43.5" customHeight="1" s="52">
      <c r="A3" s="95" t="inlineStr">
        <is>
          <t>This tab is a PLACEHOLDER. Only required if total assets ≥ $10M or voluntary election.</t>
        </is>
      </c>
      <c r="B3" s="78" t="n"/>
      <c r="C3" s="78" t="n"/>
      <c r="D3" s="74" t="n"/>
    </row>
    <row r="4" ht="32.25" customHeight="1" s="52">
      <c r="A4" s="96" t="inlineStr">
        <is>
          <t>If needed, build out Part I (Financial Info), Part II (Income Items), Part III (Expense Items) with columns for Book, Temp Diff, Perm Diff, Tax.</t>
        </is>
      </c>
      <c r="B4" s="78" t="n"/>
      <c r="C4" s="78" t="n"/>
      <c r="D4" s="74" t="n"/>
    </row>
    <row r="5" ht="15" customHeight="1" s="52">
      <c r="A5" s="94" t="n"/>
      <c r="B5" s="94" t="n"/>
      <c r="C5" s="94" t="n"/>
      <c r="D5" s="94" t="n"/>
    </row>
  </sheetData>
  <mergeCells count="3">
    <mergeCell ref="A1:D1"/>
    <mergeCell ref="A4:D4"/>
    <mergeCell ref="A3:D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CC0000"/>
    <outlinePr summaryBelow="1" summaryRight="1"/>
    <pageSetUpPr fitToPage="0"/>
  </sheetPr>
  <dimension ref="A1:F1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4" customWidth="1" style="51" min="1" max="1"/>
    <col width="16" customWidth="1" style="51" min="2" max="5"/>
    <col width="22" customWidth="1" style="51" min="6" max="6"/>
  </cols>
  <sheetData>
    <row r="1" ht="20.25" customHeight="1" s="52">
      <c r="A1" s="97" t="inlineStr">
        <is>
          <t>WORKING TRIAL BALANCE — FORM 1120 (C-CORP)</t>
        </is>
      </c>
      <c r="B1" s="78" t="n"/>
      <c r="C1" s="78" t="n"/>
      <c r="D1" s="78" t="n"/>
      <c r="E1" s="78" t="n"/>
      <c r="F1" s="74" t="n"/>
    </row>
    <row r="2" ht="15" customHeight="1" s="52">
      <c r="A2" s="75" t="inlineStr">
        <is>
          <t>[ENTITY NAME] — EIN: XX-XXXXXXX — Tax Year Ended December 31, [YEAR]</t>
        </is>
      </c>
      <c r="B2" s="78" t="n"/>
      <c r="C2" s="78" t="n"/>
      <c r="D2" s="78" t="n"/>
      <c r="E2" s="78" t="n"/>
      <c r="F2" s="74" t="n"/>
    </row>
    <row r="3" ht="15" customHeight="1" s="52">
      <c r="A3" s="98" t="inlineStr">
        <is>
          <t>Col A = Book (PBC)  |  Col B = Book-to-Tax Adj  |  Col C = A + B = Tax Return Amount  |  Col D = M-1 Adjustments  |  Col E = Ties to (Return Line)</t>
        </is>
      </c>
      <c r="B3" s="78" t="n"/>
      <c r="C3" s="78" t="n"/>
      <c r="D3" s="78" t="n"/>
      <c r="E3" s="78" t="n"/>
      <c r="F3" s="74" t="n"/>
    </row>
    <row r="4"/>
    <row r="5" ht="30" customHeight="1" s="52">
      <c r="A5" s="76" t="inlineStr">
        <is>
          <t>Account / Description</t>
        </is>
      </c>
      <c r="B5" s="76" t="inlineStr">
        <is>
          <t>A: Book
(PBC)</t>
        </is>
      </c>
      <c r="C5" s="76" t="inlineStr">
        <is>
          <t>B: Sch Adj
(Book→Tax)</t>
        </is>
      </c>
      <c r="D5" s="76" t="inlineStr">
        <is>
          <t>C: Tax Return
Amount (A+B)</t>
        </is>
      </c>
      <c r="E5" s="76" t="inlineStr">
        <is>
          <t>D: M-1
Adjustments</t>
        </is>
      </c>
      <c r="F5" s="76" t="inlineStr">
        <is>
          <t>E: Ties to
(Return Line)</t>
        </is>
      </c>
    </row>
    <row r="6" ht="21.75" customHeight="1" s="52">
      <c r="A6" s="77" t="inlineStr">
        <is>
          <t>BALANCE SHEET (Assets)</t>
        </is>
      </c>
      <c r="B6" s="78" t="n"/>
      <c r="C6" s="78" t="n"/>
      <c r="D6" s="78" t="n"/>
      <c r="E6" s="78" t="n"/>
      <c r="F6" s="78" t="n"/>
    </row>
    <row r="7" ht="21.75" customHeight="1" s="52">
      <c r="A7" s="79" t="inlineStr">
        <is>
          <t>Cash &amp; Cash Equivalents</t>
        </is>
      </c>
      <c r="B7" s="80">
        <f>'PBC - Balance Sheet'!B6</f>
        <v/>
      </c>
      <c r="D7" s="80">
        <f>B7+C7</f>
        <v/>
      </c>
      <c r="F7" s="75" t="inlineStr">
        <is>
          <t>Sch L Ln 1</t>
        </is>
      </c>
    </row>
    <row r="8" ht="21.75" customHeight="1" s="52">
      <c r="A8" s="79" t="inlineStr">
        <is>
          <t>Accounts Receivable (Gross)</t>
        </is>
      </c>
      <c r="B8" s="80">
        <f>'PBC - Balance Sheet'!B7</f>
        <v/>
      </c>
      <c r="D8" s="80">
        <f>B8+C8</f>
        <v/>
      </c>
      <c r="F8" s="75" t="inlineStr">
        <is>
          <t>Sch L Ln 2a</t>
        </is>
      </c>
    </row>
    <row r="9" ht="21.75" customHeight="1" s="52">
      <c r="A9" s="79" t="inlineStr">
        <is>
          <t>Less: Allowance for Bad Debts</t>
        </is>
      </c>
      <c r="B9" s="80">
        <f>'PBC - Balance Sheet'!B8</f>
        <v/>
      </c>
      <c r="D9" s="80">
        <f>B9+C9</f>
        <v/>
      </c>
      <c r="F9" s="75" t="inlineStr">
        <is>
          <t>Sch L Ln 2b</t>
        </is>
      </c>
    </row>
    <row r="10" ht="21.75" customHeight="1" s="52">
      <c r="A10" s="79" t="inlineStr">
        <is>
          <t>Inventories</t>
        </is>
      </c>
      <c r="B10" s="80">
        <f>'PBC - Balance Sheet'!B9</f>
        <v/>
      </c>
      <c r="D10" s="80">
        <f>B10+C10</f>
        <v/>
      </c>
      <c r="F10" s="75" t="inlineStr">
        <is>
          <t>Sch L Ln 3</t>
        </is>
      </c>
    </row>
    <row r="11" ht="21.75" customHeight="1" s="52">
      <c r="A11" s="79" t="inlineStr">
        <is>
          <t>Prepaid Expenses</t>
        </is>
      </c>
      <c r="B11" s="80">
        <f>'PBC - Balance Sheet'!B10</f>
        <v/>
      </c>
      <c r="D11" s="80">
        <f>B11+C11</f>
        <v/>
      </c>
      <c r="F11" s="75" t="inlineStr">
        <is>
          <t>Sch L Ln 6</t>
        </is>
      </c>
    </row>
    <row r="12" ht="21.75" customHeight="1" s="52">
      <c r="A12" s="79" t="inlineStr">
        <is>
          <t>Investments — Govt Obligations</t>
        </is>
      </c>
      <c r="B12" s="80">
        <f>'PBC - Balance Sheet'!B11</f>
        <v/>
      </c>
      <c r="D12" s="80">
        <f>B12+C12</f>
        <v/>
      </c>
      <c r="F12" s="75" t="inlineStr">
        <is>
          <t>Sch L Ln 5a</t>
        </is>
      </c>
    </row>
    <row r="13" ht="21.75" customHeight="1" s="52">
      <c r="A13" s="79" t="inlineStr">
        <is>
          <t>Other Current Assets</t>
        </is>
      </c>
      <c r="B13" s="80">
        <f>'PBC - Balance Sheet'!B12</f>
        <v/>
      </c>
      <c r="D13" s="80">
        <f>B13+C13</f>
        <v/>
      </c>
      <c r="F13" s="75" t="inlineStr">
        <is>
          <t>Sch L Ln 6</t>
        </is>
      </c>
    </row>
    <row r="14" ht="21.75" customHeight="1" s="52">
      <c r="A14" s="79" t="inlineStr">
        <is>
          <t>Land</t>
        </is>
      </c>
      <c r="B14" s="80">
        <f>'PBC - Balance Sheet'!B13</f>
        <v/>
      </c>
      <c r="D14" s="80">
        <f>B14+C14</f>
        <v/>
      </c>
      <c r="F14" s="75" t="inlineStr">
        <is>
          <t>Sch L Ln 12</t>
        </is>
      </c>
    </row>
    <row r="15" ht="21.75" customHeight="1" s="52">
      <c r="A15" s="79" t="inlineStr">
        <is>
          <t>Buildings/Depreciable Assets</t>
        </is>
      </c>
      <c r="B15" s="80">
        <f>'PBC - Balance Sheet'!B14+'PBC - Balance Sheet'!B15</f>
        <v/>
      </c>
      <c r="D15" s="80">
        <f>B15+C15</f>
        <v/>
      </c>
      <c r="F15" s="75" t="inlineStr">
        <is>
          <t>Sch L Ln 10a</t>
        </is>
      </c>
    </row>
    <row r="16" ht="21.75" customHeight="1" s="52">
      <c r="A16" s="79" t="inlineStr">
        <is>
          <t>Less: Accum Depreciation</t>
        </is>
      </c>
      <c r="B16" s="80">
        <f>'PBC - Balance Sheet'!B16</f>
        <v/>
      </c>
      <c r="D16" s="80">
        <f>B16+C16</f>
        <v/>
      </c>
      <c r="F16" s="75" t="inlineStr">
        <is>
          <t>Sch L Ln 10b</t>
        </is>
      </c>
    </row>
    <row r="17" ht="21.75" customHeight="1" s="52">
      <c r="A17" s="79" t="inlineStr">
        <is>
          <t>Intangible Assets</t>
        </is>
      </c>
      <c r="B17" s="80">
        <f>'PBC - Balance Sheet'!B17</f>
        <v/>
      </c>
      <c r="D17" s="80">
        <f>B17+C17</f>
        <v/>
      </c>
      <c r="F17" s="75" t="inlineStr">
        <is>
          <t>Sch L Ln 13a</t>
        </is>
      </c>
    </row>
    <row r="18" ht="21.75" customHeight="1" s="52">
      <c r="A18" s="79" t="inlineStr">
        <is>
          <t>Less: Accum Amortization</t>
        </is>
      </c>
      <c r="B18" s="80">
        <f>'PBC - Balance Sheet'!B18</f>
        <v/>
      </c>
      <c r="D18" s="80">
        <f>B18+C18</f>
        <v/>
      </c>
      <c r="F18" s="75" t="inlineStr">
        <is>
          <t>Sch L Ln 13b</t>
        </is>
      </c>
    </row>
    <row r="19" ht="21.75" customHeight="1" s="52">
      <c r="A19" s="79" t="inlineStr">
        <is>
          <t>Other Assets</t>
        </is>
      </c>
      <c r="B19" s="80">
        <f>'PBC - Balance Sheet'!B19</f>
        <v/>
      </c>
      <c r="D19" s="80">
        <f>B19+C19</f>
        <v/>
      </c>
      <c r="F19" s="75" t="inlineStr">
        <is>
          <t>Sch L Ln 14</t>
        </is>
      </c>
    </row>
    <row r="20" ht="21.75" customHeight="1" s="52">
      <c r="A20" s="99" t="inlineStr">
        <is>
          <t>TOTAL ASSETS</t>
        </is>
      </c>
      <c r="B20" s="100">
        <f>SUM(B7:B19)</f>
        <v/>
      </c>
      <c r="D20" s="100">
        <f>SUM(D7:D19)</f>
        <v/>
      </c>
      <c r="F20" s="101" t="inlineStr">
        <is>
          <t>Sch L Ln 15</t>
        </is>
      </c>
    </row>
    <row r="21" ht="21.75" customHeight="1" s="52">
      <c r="A21" s="77" t="inlineStr">
        <is>
          <t>BALANCE SHEET (Liabilities)</t>
        </is>
      </c>
      <c r="B21" s="78" t="n"/>
      <c r="C21" s="78" t="n"/>
      <c r="D21" s="78" t="n"/>
      <c r="E21" s="78" t="n"/>
      <c r="F21" s="78" t="n"/>
    </row>
    <row r="22" ht="21.75" customHeight="1" s="52">
      <c r="A22" s="79" t="inlineStr">
        <is>
          <t>Accounts Payable</t>
        </is>
      </c>
      <c r="B22" s="80">
        <f>'PBC - Balance Sheet'!B23</f>
        <v/>
      </c>
      <c r="D22" s="80">
        <f>B22+C22</f>
        <v/>
      </c>
      <c r="F22" s="75" t="inlineStr">
        <is>
          <t>Sch L Ln 16</t>
        </is>
      </c>
    </row>
    <row r="23" ht="21.75" customHeight="1" s="52">
      <c r="A23" s="79" t="inlineStr">
        <is>
          <t>Mortgages/Notes (&lt;1 yr)</t>
        </is>
      </c>
      <c r="B23" s="80">
        <f>'PBC - Balance Sheet'!B24</f>
        <v/>
      </c>
      <c r="D23" s="80">
        <f>B23+C23</f>
        <v/>
      </c>
      <c r="F23" s="75" t="inlineStr">
        <is>
          <t>Sch L Ln 17</t>
        </is>
      </c>
    </row>
    <row r="24" ht="21.75" customHeight="1" s="52">
      <c r="A24" s="79" t="inlineStr">
        <is>
          <t>Other Current Liabilities</t>
        </is>
      </c>
      <c r="B24" s="80">
        <f>'PBC - Balance Sheet'!B25</f>
        <v/>
      </c>
      <c r="D24" s="80">
        <f>B24+C24</f>
        <v/>
      </c>
      <c r="F24" s="75" t="inlineStr">
        <is>
          <t>Sch L Ln 18</t>
        </is>
      </c>
    </row>
    <row r="25" ht="21.75" customHeight="1" s="52">
      <c r="A25" s="79" t="inlineStr">
        <is>
          <t>Loans from Shareholders</t>
        </is>
      </c>
      <c r="B25" s="80">
        <f>'PBC - Balance Sheet'!B26</f>
        <v/>
      </c>
      <c r="D25" s="80">
        <f>B25+C25</f>
        <v/>
      </c>
      <c r="F25" s="75" t="inlineStr">
        <is>
          <t>Sch L Ln 19</t>
        </is>
      </c>
    </row>
    <row r="26" ht="21.75" customHeight="1" s="52">
      <c r="A26" s="79" t="inlineStr">
        <is>
          <t>Mortgages/Notes (≥1 yr)</t>
        </is>
      </c>
      <c r="B26" s="80">
        <f>'PBC - Balance Sheet'!B27</f>
        <v/>
      </c>
      <c r="D26" s="80">
        <f>B26+C26</f>
        <v/>
      </c>
      <c r="F26" s="75" t="inlineStr">
        <is>
          <t>Sch L Ln 20</t>
        </is>
      </c>
    </row>
    <row r="27" ht="21.75" customHeight="1" s="52">
      <c r="A27" s="79" t="inlineStr">
        <is>
          <t>Other Liabilities</t>
        </is>
      </c>
      <c r="B27" s="80">
        <f>'PBC - Balance Sheet'!B28</f>
        <v/>
      </c>
      <c r="D27" s="80">
        <f>B27+C27</f>
        <v/>
      </c>
      <c r="F27" s="75" t="inlineStr">
        <is>
          <t>Sch L Ln 21</t>
        </is>
      </c>
    </row>
    <row r="28" ht="21.75" customHeight="1" s="52">
      <c r="A28" s="99" t="inlineStr">
        <is>
          <t>TOTAL LIABILITIES</t>
        </is>
      </c>
      <c r="B28" s="100">
        <f>SUM(B22:B27)</f>
        <v/>
      </c>
      <c r="D28" s="100">
        <f>SUM(D22:D27)</f>
        <v/>
      </c>
    </row>
    <row r="29" ht="21.75" customHeight="1" s="52">
      <c r="A29" s="77" t="inlineStr">
        <is>
          <t>BALANCE SHEET (Equity)</t>
        </is>
      </c>
      <c r="B29" s="78" t="n"/>
      <c r="C29" s="78" t="n"/>
      <c r="D29" s="78" t="n"/>
      <c r="E29" s="78" t="n"/>
      <c r="F29" s="78" t="n"/>
    </row>
    <row r="30" ht="21.75" customHeight="1" s="52">
      <c r="A30" s="79" t="inlineStr">
        <is>
          <t>Capital Stock</t>
        </is>
      </c>
      <c r="B30" s="80">
        <f>'PBC - Balance Sheet'!B32</f>
        <v/>
      </c>
      <c r="D30" s="80">
        <f>B30+C30</f>
        <v/>
      </c>
      <c r="F30" s="75" t="inlineStr">
        <is>
          <t>Sch L Ln 22</t>
        </is>
      </c>
    </row>
    <row r="31" ht="21.75" customHeight="1" s="52">
      <c r="A31" s="79" t="inlineStr">
        <is>
          <t>Additional Paid-In Capital</t>
        </is>
      </c>
      <c r="B31" s="80">
        <f>'PBC - Balance Sheet'!B33</f>
        <v/>
      </c>
      <c r="D31" s="80">
        <f>B31+C31</f>
        <v/>
      </c>
      <c r="F31" s="75" t="inlineStr">
        <is>
          <t>Sch L Ln 23</t>
        </is>
      </c>
    </row>
    <row r="32" ht="21.75" customHeight="1" s="52">
      <c r="A32" s="79" t="inlineStr">
        <is>
          <t>Retained Earnings (Prior Years)</t>
        </is>
      </c>
      <c r="B32" s="80">
        <f>'PBC - Balance Sheet'!B34</f>
        <v/>
      </c>
      <c r="D32" s="80">
        <f>B32+C32</f>
        <v/>
      </c>
      <c r="F32" s="75" t="inlineStr">
        <is>
          <t>Sch L Ln 25 (part)</t>
        </is>
      </c>
    </row>
    <row r="33" ht="21.75" customHeight="1" s="52">
      <c r="A33" s="79" t="inlineStr">
        <is>
          <t>Retained Earnings (Current Year)</t>
        </is>
      </c>
      <c r="B33" s="80">
        <f>'PBC - Balance Sheet'!B35</f>
        <v/>
      </c>
      <c r="D33" s="80">
        <f>B33+C33</f>
        <v/>
      </c>
      <c r="F33" s="75" t="inlineStr">
        <is>
          <t>Sch L Ln 25 (part)</t>
        </is>
      </c>
    </row>
    <row r="34" ht="21.75" customHeight="1" s="52">
      <c r="A34" s="79" t="inlineStr">
        <is>
          <t>Less: Treasury Stock</t>
        </is>
      </c>
      <c r="B34" s="80">
        <f>'PBC - Balance Sheet'!B36</f>
        <v/>
      </c>
      <c r="D34" s="80">
        <f>B34+C34</f>
        <v/>
      </c>
      <c r="F34" s="75" t="inlineStr">
        <is>
          <t>Sch L Ln 27</t>
        </is>
      </c>
    </row>
    <row r="35" ht="21.75" customHeight="1" s="52">
      <c r="A35" s="99" t="inlineStr">
        <is>
          <t>TOTAL EQUITY</t>
        </is>
      </c>
      <c r="B35" s="100">
        <f>SUM(B30:B34)</f>
        <v/>
      </c>
      <c r="D35" s="100">
        <f>SUM(D30:D34)</f>
        <v/>
      </c>
    </row>
    <row r="36" ht="21.75" customHeight="1" s="52">
      <c r="A36" s="99" t="inlineStr">
        <is>
          <t>BS CHECK (should be 0)</t>
        </is>
      </c>
      <c r="B36" s="102">
        <f>B20-B28-B35</f>
        <v/>
      </c>
      <c r="D36" s="102">
        <f>D20-D28-D35</f>
        <v/>
      </c>
    </row>
    <row r="37"/>
    <row r="38" ht="21.75" customHeight="1" s="52">
      <c r="A38" s="77" t="inlineStr">
        <is>
          <t>INCOME (Page 1)</t>
        </is>
      </c>
      <c r="B38" s="78" t="n"/>
      <c r="C38" s="78" t="n"/>
      <c r="D38" s="78" t="n"/>
      <c r="E38" s="78" t="n"/>
      <c r="F38" s="78" t="n"/>
    </row>
    <row r="39" ht="21.75" customHeight="1" s="52">
      <c r="A39" s="79" t="inlineStr">
        <is>
          <t>Gross Receipts / Sales</t>
        </is>
      </c>
      <c r="B39" s="80">
        <f>'PBC - P&amp;L'!B6</f>
        <v/>
      </c>
      <c r="D39" s="80">
        <f>B39+C39</f>
        <v/>
      </c>
      <c r="F39" s="75" t="inlineStr">
        <is>
          <t>Pg 1 Ln 1a</t>
        </is>
      </c>
    </row>
    <row r="40" ht="21.75" customHeight="1" s="52">
      <c r="A40" s="79" t="inlineStr">
        <is>
          <t>Returns &amp; Allowances</t>
        </is>
      </c>
      <c r="B40" s="80">
        <f>'PBC - P&amp;L'!B7</f>
        <v/>
      </c>
      <c r="D40" s="80">
        <f>B40+C40</f>
        <v/>
      </c>
      <c r="F40" s="75" t="inlineStr">
        <is>
          <t>Pg 1 Ln 1b</t>
        </is>
      </c>
    </row>
    <row r="41" ht="21.75" customHeight="1" s="52">
      <c r="A41" s="79" t="inlineStr">
        <is>
          <t>Net Sales</t>
        </is>
      </c>
      <c r="B41" s="80">
        <f>'PBC - P&amp;L'!B8</f>
        <v/>
      </c>
      <c r="D41" s="80">
        <f>B41+C41</f>
        <v/>
      </c>
      <c r="F41" s="75" t="inlineStr">
        <is>
          <t>Pg 1 Ln 1c</t>
        </is>
      </c>
    </row>
    <row r="42" ht="21.75" customHeight="1" s="52">
      <c r="A42" s="79" t="inlineStr">
        <is>
          <t>COGS</t>
        </is>
      </c>
      <c r="B42" s="80">
        <f>'PBC - P&amp;L'!B12</f>
        <v/>
      </c>
      <c r="D42" s="80">
        <f>B42+C42</f>
        <v/>
      </c>
      <c r="F42" s="75" t="inlineStr">
        <is>
          <t>Pg 1 Ln 2</t>
        </is>
      </c>
    </row>
    <row r="43" ht="21.75" customHeight="1" s="52">
      <c r="A43" s="79" t="inlineStr">
        <is>
          <t>Gross Profit</t>
        </is>
      </c>
      <c r="B43" s="80">
        <f>'PBC - P&amp;L'!B13</f>
        <v/>
      </c>
      <c r="D43" s="80">
        <f>B43+C43</f>
        <v/>
      </c>
      <c r="F43" s="75" t="inlineStr">
        <is>
          <t>Pg 1 Ln 3</t>
        </is>
      </c>
    </row>
    <row r="44" ht="21.75" customHeight="1" s="52">
      <c r="A44" s="79" t="inlineStr">
        <is>
          <t>Dividends (Sch C)</t>
        </is>
      </c>
      <c r="B44" s="80">
        <f>'PBC - P&amp;L'!B17</f>
        <v/>
      </c>
      <c r="C44" s="80">
        <f>-'PBC - P&amp;L'!B17</f>
        <v/>
      </c>
      <c r="D44" s="80">
        <f>B44+C44</f>
        <v/>
      </c>
      <c r="F44" s="75" t="inlineStr">
        <is>
          <t>Pg 1 Ln 4</t>
        </is>
      </c>
    </row>
    <row r="45" ht="21.75" customHeight="1" s="52">
      <c r="A45" s="79" t="inlineStr">
        <is>
          <t>Interest</t>
        </is>
      </c>
      <c r="B45" s="80">
        <f>'PBC - P&amp;L'!B16</f>
        <v/>
      </c>
      <c r="C45" s="80">
        <f>-'PBC - P&amp;L'!B16</f>
        <v/>
      </c>
      <c r="D45" s="80">
        <f>B45+C45</f>
        <v/>
      </c>
      <c r="F45" s="75" t="inlineStr">
        <is>
          <t>Pg 1 Ln 5</t>
        </is>
      </c>
    </row>
    <row r="46" ht="21.75" customHeight="1" s="52">
      <c r="A46" s="79" t="inlineStr">
        <is>
          <t>Gross Rents</t>
        </is>
      </c>
      <c r="B46" s="80">
        <f>'PBC - P&amp;L'!B9</f>
        <v/>
      </c>
      <c r="C46" s="80">
        <f>-'PBC - P&amp;L'!B9</f>
        <v/>
      </c>
      <c r="D46" s="80">
        <f>B46+C46</f>
        <v/>
      </c>
      <c r="F46" s="75" t="inlineStr">
        <is>
          <t>Pg 1 Ln 6</t>
        </is>
      </c>
    </row>
    <row r="47" ht="21.75" customHeight="1" s="52">
      <c r="A47" s="79" t="inlineStr">
        <is>
          <t>Gross Royalties</t>
        </is>
      </c>
      <c r="B47" s="80">
        <f>'PBC - P&amp;L'!B22</f>
        <v/>
      </c>
      <c r="D47" s="80">
        <f>B47+C47</f>
        <v/>
      </c>
      <c r="F47" s="75" t="inlineStr">
        <is>
          <t>Pg 1 Ln 7</t>
        </is>
      </c>
    </row>
    <row r="48" ht="21.75" customHeight="1" s="52">
      <c r="A48" s="79" t="inlineStr">
        <is>
          <t>Capital Gain (Sch D)</t>
        </is>
      </c>
      <c r="B48" s="80">
        <f>'PBC - P&amp;L'!B18</f>
        <v/>
      </c>
      <c r="C48" s="80">
        <f>-'PBC - P&amp;L'!B18</f>
        <v/>
      </c>
      <c r="D48" s="80">
        <f>B48+C48</f>
        <v/>
      </c>
      <c r="F48" s="75" t="inlineStr">
        <is>
          <t>Pg 1 Ln 8</t>
        </is>
      </c>
    </row>
    <row r="49" ht="21.75" customHeight="1" s="52">
      <c r="A49" s="79" t="inlineStr">
        <is>
          <t>Net Gain/Loss (Form 4797)</t>
        </is>
      </c>
      <c r="B49" s="80">
        <f>'PBC - P&amp;L'!B19</f>
        <v/>
      </c>
      <c r="C49" s="80">
        <f>-'PBC - P&amp;L'!B19</f>
        <v/>
      </c>
      <c r="D49" s="80">
        <f>B49+C49</f>
        <v/>
      </c>
      <c r="F49" s="75" t="inlineStr">
        <is>
          <t>Pg 1 Ln 9</t>
        </is>
      </c>
    </row>
    <row r="50" ht="21.75" customHeight="1" s="52">
      <c r="A50" s="79" t="inlineStr">
        <is>
          <t>Other Income</t>
        </is>
      </c>
      <c r="B50" s="80">
        <f>'PBC - P&amp;L'!B23</f>
        <v/>
      </c>
      <c r="D50" s="80">
        <f>B50+C50</f>
        <v/>
      </c>
      <c r="F50" s="75" t="inlineStr">
        <is>
          <t>Pg 1 Ln 10</t>
        </is>
      </c>
    </row>
    <row r="51" ht="21.75" customHeight="1" s="52">
      <c r="A51" s="79" t="inlineStr">
        <is>
          <t>Tax-Exempt Interest (REMOVE)</t>
        </is>
      </c>
      <c r="B51" s="80">
        <f>'PBC - P&amp;L'!B20</f>
        <v/>
      </c>
      <c r="C51" s="80">
        <f>-'PBC - P&amp;L'!B20</f>
        <v/>
      </c>
      <c r="D51" s="80">
        <f>B51+C51</f>
        <v/>
      </c>
      <c r="E51" s="80">
        <f>'PBC - P&amp;L'!B20</f>
        <v/>
      </c>
      <c r="F51" s="75" t="inlineStr">
        <is>
          <t>M-1 Ln 7 (removed)</t>
        </is>
      </c>
    </row>
    <row r="52" ht="21.75" customHeight="1" s="52">
      <c r="A52" s="79" t="inlineStr">
        <is>
          <t>Unrealized Gain (REMOVE)</t>
        </is>
      </c>
      <c r="B52" s="80">
        <f>'PBC - P&amp;L'!B21</f>
        <v/>
      </c>
      <c r="C52" s="80">
        <f>-'PBC - P&amp;L'!B21</f>
        <v/>
      </c>
      <c r="D52" s="80">
        <f>B52+C52</f>
        <v/>
      </c>
      <c r="E52" s="80">
        <f>'PBC - P&amp;L'!B21</f>
        <v/>
      </c>
      <c r="F52" s="75" t="inlineStr">
        <is>
          <t>M-1 Ln 8 (removed)</t>
        </is>
      </c>
    </row>
    <row r="53" ht="21.75" customHeight="1" s="52">
      <c r="A53" s="99" t="inlineStr">
        <is>
          <t>TOTAL INCOME (Pg 1 Ln 11)</t>
        </is>
      </c>
      <c r="B53" s="100">
        <f>B43+SUM(B44:B52)</f>
        <v/>
      </c>
      <c r="C53" s="100">
        <f>SUM(C44:C52)</f>
        <v/>
      </c>
      <c r="D53" s="100">
        <f>B53+C53</f>
        <v/>
      </c>
      <c r="F53" s="101" t="inlineStr">
        <is>
          <t>Pg 1 Ln 11</t>
        </is>
      </c>
    </row>
    <row r="54"/>
    <row r="55" ht="21.75" customHeight="1" s="52">
      <c r="A55" s="77" t="inlineStr">
        <is>
          <t>DEDUCTIONS (Page 1)</t>
        </is>
      </c>
      <c r="B55" s="78" t="n"/>
      <c r="C55" s="78" t="n"/>
      <c r="D55" s="78" t="n"/>
      <c r="E55" s="78" t="n"/>
      <c r="F55" s="78" t="n"/>
    </row>
    <row r="56" ht="21.75" customHeight="1" s="52">
      <c r="A56" s="79" t="inlineStr">
        <is>
          <t>Officer Compensation</t>
        </is>
      </c>
      <c r="B56" s="80">
        <f>'PBC - P&amp;L'!B27</f>
        <v/>
      </c>
      <c r="C56" s="80">
        <f>0</f>
        <v/>
      </c>
      <c r="D56" s="80">
        <f>B56+C56</f>
        <v/>
      </c>
      <c r="F56" s="75" t="inlineStr">
        <is>
          <t>Pg 1 Ln 12</t>
        </is>
      </c>
    </row>
    <row r="57" ht="21.75" customHeight="1" s="52">
      <c r="A57" s="79" t="inlineStr">
        <is>
          <t>Salaries &amp; Wages (non-officer)</t>
        </is>
      </c>
      <c r="B57" s="80">
        <f>'PBC - P&amp;L'!B30</f>
        <v/>
      </c>
      <c r="D57" s="80">
        <f>B57+C57</f>
        <v/>
      </c>
      <c r="F57" s="75" t="inlineStr">
        <is>
          <t>Pg 1 Ln 13</t>
        </is>
      </c>
    </row>
    <row r="58" ht="21.75" customHeight="1" s="52">
      <c r="A58" s="79" t="inlineStr">
        <is>
          <t>Repairs &amp; Maintenance</t>
        </is>
      </c>
      <c r="B58" s="80">
        <f>'PBC - P&amp;L'!B33</f>
        <v/>
      </c>
      <c r="D58" s="80">
        <f>B58+C58</f>
        <v/>
      </c>
      <c r="F58" s="75" t="inlineStr">
        <is>
          <t>Pg 1 Ln 14</t>
        </is>
      </c>
    </row>
    <row r="59" ht="21.75" customHeight="1" s="52">
      <c r="A59" s="79" t="inlineStr">
        <is>
          <t>Bad Debts</t>
        </is>
      </c>
      <c r="B59" s="80">
        <f>'PBC - P&amp;L'!B34</f>
        <v/>
      </c>
      <c r="D59" s="80">
        <f>B59+C59</f>
        <v/>
      </c>
      <c r="F59" s="75" t="inlineStr">
        <is>
          <t>Pg 1 Ln 15</t>
        </is>
      </c>
    </row>
    <row r="60" ht="21.75" customHeight="1" s="52">
      <c r="A60" s="79" t="inlineStr">
        <is>
          <t>Rents</t>
        </is>
      </c>
      <c r="B60" s="80">
        <f>'PBC - P&amp;L'!B35</f>
        <v/>
      </c>
      <c r="D60" s="80">
        <f>B60+C60</f>
        <v/>
      </c>
      <c r="F60" s="75" t="inlineStr">
        <is>
          <t>Pg 1 Ln 16</t>
        </is>
      </c>
    </row>
    <row r="61" ht="21.75" customHeight="1" s="52">
      <c r="A61" s="79" t="inlineStr">
        <is>
          <t>Taxes &amp; Licenses</t>
        </is>
      </c>
      <c r="B61" s="80">
        <f>'PBC - P&amp;L'!B36</f>
        <v/>
      </c>
      <c r="D61" s="80">
        <f>B61+C61</f>
        <v/>
      </c>
      <c r="F61" s="75" t="inlineStr">
        <is>
          <t>Pg 1 Ln 17</t>
        </is>
      </c>
    </row>
    <row r="62" ht="21.75" customHeight="1" s="52">
      <c r="A62" s="79" t="inlineStr">
        <is>
          <t>Interest</t>
        </is>
      </c>
      <c r="B62" s="80">
        <f>'PBC - P&amp;L'!B37</f>
        <v/>
      </c>
      <c r="D62" s="80">
        <f>B62+C62</f>
        <v/>
      </c>
      <c r="F62" s="75" t="inlineStr">
        <is>
          <t>Pg 1 Ln 18</t>
        </is>
      </c>
    </row>
    <row r="63" ht="21.75" customHeight="1" s="52">
      <c r="A63" s="79" t="inlineStr">
        <is>
          <t>Depreciation — Vehicles (Book)</t>
        </is>
      </c>
      <c r="B63" s="80">
        <f>'PBC - P&amp;L'!B38</f>
        <v/>
      </c>
      <c r="C63" s="80">
        <f>-'PBC - P&amp;L'!B38</f>
        <v/>
      </c>
      <c r="D63" s="80">
        <f>B63+C63</f>
        <v/>
      </c>
      <c r="E63" s="80">
        <f>'PBC - P&amp;L'!B38</f>
        <v/>
      </c>
      <c r="F63" s="75" t="inlineStr">
        <is>
          <t>M-1 Ln 5b (removed)</t>
        </is>
      </c>
    </row>
    <row r="64" ht="21.75" customHeight="1" s="52">
      <c r="A64" s="79" t="inlineStr">
        <is>
          <t>Depreciation — FF&amp;E (Book)</t>
        </is>
      </c>
      <c r="B64" s="80">
        <f>'PBC - P&amp;L'!B39</f>
        <v/>
      </c>
      <c r="C64" s="80">
        <f>-'PBC - P&amp;L'!B39</f>
        <v/>
      </c>
      <c r="D64" s="80">
        <f>B64+C64</f>
        <v/>
      </c>
      <c r="E64" s="51">
        <f>'PBC - P&amp;L'!B39</f>
        <v/>
      </c>
      <c r="F64" s="75" t="inlineStr">
        <is>
          <t>M-1 (removed)</t>
        </is>
      </c>
    </row>
    <row r="65" ht="21.75" customHeight="1" s="52">
      <c r="A65" s="79" t="inlineStr">
        <is>
          <t>Depreciation — Computers (Book)</t>
        </is>
      </c>
      <c r="B65" s="80">
        <f>'PBC - P&amp;L'!B40</f>
        <v/>
      </c>
      <c r="C65" s="80">
        <f>-'PBC - P&amp;L'!B40</f>
        <v/>
      </c>
      <c r="D65" s="80">
        <f>B65+C65</f>
        <v/>
      </c>
      <c r="E65" s="51">
        <f>'PBC - P&amp;L'!B40</f>
        <v/>
      </c>
      <c r="F65" s="75" t="inlineStr">
        <is>
          <t>M-1 (removed)</t>
        </is>
      </c>
    </row>
    <row r="66" ht="21.75" customHeight="1" s="52">
      <c r="A66" s="79" t="inlineStr">
        <is>
          <t>Depreciation — Leasehold (Book)</t>
        </is>
      </c>
      <c r="B66" s="80">
        <f>'PBC - P&amp;L'!B41</f>
        <v/>
      </c>
      <c r="C66" s="80">
        <f>-'PBC - P&amp;L'!B41</f>
        <v/>
      </c>
      <c r="D66" s="80">
        <f>B66+C66</f>
        <v/>
      </c>
      <c r="E66" s="51">
        <f>'PBC - P&amp;L'!B41</f>
        <v/>
      </c>
      <c r="F66" s="75" t="inlineStr">
        <is>
          <t>M-1 (removed)</t>
        </is>
      </c>
    </row>
    <row r="67" ht="21.75" customHeight="1" s="52">
      <c r="A67" s="79" t="inlineStr">
        <is>
          <t>Tax Depreciation (MACRS/Bonus)</t>
        </is>
      </c>
      <c r="B67" s="80" t="n">
        <v>0</v>
      </c>
      <c r="C67" s="80">
        <f>'Strategy Inputs'!C25</f>
        <v/>
      </c>
      <c r="D67" s="80">
        <f>B67+C67</f>
        <v/>
      </c>
      <c r="E67" s="80">
        <f>-'Strategy Inputs'!C25</f>
        <v/>
      </c>
      <c r="F67" s="75" t="inlineStr">
        <is>
          <t>Pg 1 Ln 20 / M-1 Ln 8a</t>
        </is>
      </c>
    </row>
    <row r="68" ht="21.75" customHeight="1" s="52">
      <c r="A68" s="79" t="inlineStr">
        <is>
          <t>§179 Deduction</t>
        </is>
      </c>
      <c r="B68" s="80" t="n">
        <v>0</v>
      </c>
      <c r="C68" s="80">
        <f>'Strategy Inputs'!C26</f>
        <v/>
      </c>
      <c r="D68" s="80">
        <f>B68+C68</f>
        <v/>
      </c>
      <c r="E68" s="80">
        <f>-'Strategy Inputs'!C26</f>
        <v/>
      </c>
      <c r="F68" s="75" t="inlineStr">
        <is>
          <t>Pg 1 Ln 20 / M-1 Ln 8b</t>
        </is>
      </c>
    </row>
    <row r="69" ht="21.75" customHeight="1" s="52">
      <c r="A69" s="79" t="inlineStr">
        <is>
          <t>Advertising</t>
        </is>
      </c>
      <c r="B69" s="80">
        <f>'PBC - P&amp;L'!B42</f>
        <v/>
      </c>
      <c r="D69" s="80">
        <f>B69+C69</f>
        <v/>
      </c>
      <c r="F69" s="75" t="inlineStr">
        <is>
          <t>Pg 1 Ln 22</t>
        </is>
      </c>
    </row>
    <row r="70" ht="21.75" customHeight="1" s="52">
      <c r="A70" s="79" t="inlineStr">
        <is>
          <t>Pension/Profit-Sharing</t>
        </is>
      </c>
      <c r="B70" s="80">
        <f>'PBC - P&amp;L'!B43</f>
        <v/>
      </c>
      <c r="C70" s="80">
        <f>0</f>
        <v/>
      </c>
      <c r="D70" s="80">
        <f>B70+C70</f>
        <v/>
      </c>
      <c r="F70" s="75" t="inlineStr">
        <is>
          <t>Pg 1 Ln 23</t>
        </is>
      </c>
    </row>
    <row r="71" ht="21.75" customHeight="1" s="52">
      <c r="A71" s="79" t="inlineStr">
        <is>
          <t>Employee Benefit Programs</t>
        </is>
      </c>
      <c r="B71" s="80">
        <f>'PBC - P&amp;L'!B44</f>
        <v/>
      </c>
      <c r="D71" s="80">
        <f>B71+C71</f>
        <v/>
      </c>
      <c r="F71" s="75" t="inlineStr">
        <is>
          <t>Pg 1 Ln 24</t>
        </is>
      </c>
    </row>
    <row r="72" ht="21.75" customHeight="1" s="52">
      <c r="A72" s="79" t="inlineStr">
        <is>
          <t>Charitable Contributions (up to 10%)</t>
        </is>
      </c>
      <c r="B72" s="80">
        <f>'PBC - P&amp;L'!B47</f>
        <v/>
      </c>
      <c r="D72" s="80">
        <f>B72+C72</f>
        <v/>
      </c>
      <c r="E72" s="80">
        <f>'Strategy Inputs'!C18</f>
        <v/>
      </c>
      <c r="F72" s="75" t="inlineStr">
        <is>
          <t>Pg 1 Ln 19 / M-1 (excess)</t>
        </is>
      </c>
    </row>
    <row r="73" ht="21.75" customHeight="1" s="52">
      <c r="A73" s="79" t="inlineStr">
        <is>
          <t>Meals (Business)</t>
        </is>
      </c>
      <c r="B73" s="80">
        <f>'PBC - P&amp;L'!B45</f>
        <v/>
      </c>
      <c r="C73" s="51">
        <f>-'PBC - P&amp;L'!B45*0.5</f>
        <v/>
      </c>
      <c r="D73" s="80">
        <f>B73+C73</f>
        <v/>
      </c>
      <c r="E73" s="80">
        <f>'PBC - P&amp;L'!B45*0.5</f>
        <v/>
      </c>
      <c r="F73" s="75" t="inlineStr">
        <is>
          <t>M-1 Ln 5c (50% disallowed)</t>
        </is>
      </c>
    </row>
    <row r="74" ht="21.75" customHeight="1" s="52">
      <c r="A74" s="79" t="inlineStr">
        <is>
          <t>Entertainment (100% disallowed)</t>
        </is>
      </c>
      <c r="B74" s="80">
        <f>'PBC - P&amp;L'!B46</f>
        <v/>
      </c>
      <c r="C74" s="80">
        <f>-'PBC - P&amp;L'!B46</f>
        <v/>
      </c>
      <c r="D74" s="80">
        <f>B74+C74</f>
        <v/>
      </c>
      <c r="E74" s="80">
        <f>'PBC - P&amp;L'!B46</f>
        <v/>
      </c>
      <c r="F74" s="75" t="inlineStr">
        <is>
          <t>M-1 Ln 5d</t>
        </is>
      </c>
    </row>
    <row r="75" ht="21.75" customHeight="1" s="52">
      <c r="A75" s="79" t="inlineStr">
        <is>
          <t>Political Contributions (nondeductible)</t>
        </is>
      </c>
      <c r="B75" s="80">
        <f>'PBC - P&amp;L'!B48</f>
        <v/>
      </c>
      <c r="C75" s="51">
        <f>-'PBC - P&amp;L'!B48</f>
        <v/>
      </c>
      <c r="D75" s="80">
        <f>B75+C75</f>
        <v/>
      </c>
      <c r="E75" s="80">
        <f>'PBC - P&amp;L'!B48</f>
        <v/>
      </c>
      <c r="F75" s="75" t="inlineStr">
        <is>
          <t>M-1 (nondeductible)</t>
        </is>
      </c>
    </row>
    <row r="76" ht="21.75" customHeight="1" s="52">
      <c r="A76" s="79" t="inlineStr">
        <is>
          <t>Penalties &amp; Fines (nondeductible)</t>
        </is>
      </c>
      <c r="B76" s="80">
        <f>'PBC - P&amp;L'!B49</f>
        <v/>
      </c>
      <c r="C76" s="51">
        <f>-'PBC - P&amp;L'!B49</f>
        <v/>
      </c>
      <c r="D76" s="80">
        <f>B76+C76</f>
        <v/>
      </c>
      <c r="E76" s="80">
        <f>'PBC - P&amp;L'!B49</f>
        <v/>
      </c>
      <c r="F76" s="75" t="inlineStr">
        <is>
          <t>M-1 (nondeductible)</t>
        </is>
      </c>
    </row>
    <row r="77" ht="21.75" customHeight="1" s="52">
      <c r="A77" s="79" t="inlineStr">
        <is>
          <t>Life Insurance (nondeductible)</t>
        </is>
      </c>
      <c r="B77" s="80">
        <f>'PBC - P&amp;L'!B50</f>
        <v/>
      </c>
      <c r="C77" s="51">
        <f>-'PBC - P&amp;L'!B50</f>
        <v/>
      </c>
      <c r="D77" s="80">
        <f>B77+C77</f>
        <v/>
      </c>
      <c r="E77" s="80">
        <f>'PBC - P&amp;L'!B50</f>
        <v/>
      </c>
      <c r="F77" s="75" t="inlineStr">
        <is>
          <t>M-1 (nondeductible)</t>
        </is>
      </c>
    </row>
    <row r="78" ht="21.75" customHeight="1" s="52">
      <c r="A78" s="79" t="inlineStr">
        <is>
          <t>Club Dues (nondeductible)</t>
        </is>
      </c>
      <c r="B78" s="80">
        <f>'PBC - P&amp;L'!B51</f>
        <v/>
      </c>
      <c r="C78" s="51">
        <f>-'PBC - P&amp;L'!B51</f>
        <v/>
      </c>
      <c r="D78" s="80">
        <f>B78+C78</f>
        <v/>
      </c>
      <c r="E78" s="80">
        <f>'PBC - P&amp;L'!B51</f>
        <v/>
      </c>
      <c r="F78" s="75" t="inlineStr">
        <is>
          <t>M-1 (nondeductible)</t>
        </is>
      </c>
    </row>
    <row r="79" ht="21.75" customHeight="1" s="52">
      <c r="A79" s="79" t="inlineStr">
        <is>
          <t>Rental Activity Expenses</t>
        </is>
      </c>
      <c r="B79" s="80">
        <f>'PBC - P&amp;L'!B52</f>
        <v/>
      </c>
      <c r="C79" s="80">
        <f>-'PBC - P&amp;L'!B52</f>
        <v/>
      </c>
      <c r="D79" s="80">
        <f>B79+C79</f>
        <v/>
      </c>
      <c r="F79" s="75" t="inlineStr">
        <is>
          <t>Net w/ rental income Ln 6</t>
        </is>
      </c>
    </row>
    <row r="80" ht="21.75" customHeight="1" s="52">
      <c r="A80" s="79" t="inlineStr">
        <is>
          <t>Other Deductions</t>
        </is>
      </c>
      <c r="B80" s="80">
        <f>'PBC - P&amp;L'!B53</f>
        <v/>
      </c>
      <c r="D80" s="80">
        <f>B80+C80</f>
        <v/>
      </c>
      <c r="F80" s="75" t="inlineStr">
        <is>
          <t>Pg 1 Ln 26</t>
        </is>
      </c>
    </row>
    <row r="81" ht="21.75" customHeight="1" s="52">
      <c r="A81" s="99" t="inlineStr">
        <is>
          <t>TOTAL DEDUCTIONS (Pg 1 Ln 27)</t>
        </is>
      </c>
      <c r="B81" s="100">
        <f>SUM(B56:B80)</f>
        <v/>
      </c>
      <c r="C81" s="100">
        <f>SUM(C56:C80)</f>
        <v/>
      </c>
      <c r="D81" s="100">
        <f>B81+C81</f>
        <v/>
      </c>
      <c r="F81" s="101" t="inlineStr">
        <is>
          <t>Pg 1 Ln 27</t>
        </is>
      </c>
    </row>
    <row r="82"/>
    <row r="83" ht="21.75" customHeight="1" s="52">
      <c r="A83" s="77" t="inlineStr">
        <is>
          <t>TAXABLE INCOME COMPUTATION</t>
        </is>
      </c>
      <c r="B83" s="78" t="n"/>
      <c r="C83" s="78" t="n"/>
      <c r="D83" s="78" t="n"/>
      <c r="E83" s="78" t="n"/>
      <c r="F83" s="78" t="n"/>
    </row>
    <row r="84" ht="21.75" customHeight="1" s="52">
      <c r="A84" s="99" t="inlineStr">
        <is>
          <t>Taxable Income Before NOL &amp; DRD (Pg 1 Ln 28)</t>
        </is>
      </c>
      <c r="D84" s="100">
        <f>B100</f>
        <v/>
      </c>
      <c r="F84" s="101" t="inlineStr">
        <is>
          <t>Pg 1 Ln 28</t>
        </is>
      </c>
    </row>
    <row r="85" ht="21.75" customHeight="1" s="52">
      <c r="A85" s="79" t="inlineStr">
        <is>
          <t>Less: NOL Deduction (Pg 1 Ln 29a)</t>
        </is>
      </c>
      <c r="D85" s="85" t="n"/>
      <c r="F85" s="75" t="inlineStr">
        <is>
          <t>Pg 1 Ln 29a</t>
        </is>
      </c>
    </row>
    <row r="86" ht="21.75" customHeight="1" s="52">
      <c r="A86" s="79" t="inlineStr">
        <is>
          <t>Less: Dividends Received Deduction (Pg 1 Ln 29b)</t>
        </is>
      </c>
      <c r="D86" s="85" t="n"/>
      <c r="F86" s="75" t="inlineStr">
        <is>
          <t>Pg 1 Ln 29b</t>
        </is>
      </c>
    </row>
    <row r="87" ht="21.75" customHeight="1" s="52">
      <c r="A87" s="99" t="inlineStr">
        <is>
          <t>TAXABLE INCOME (Pg 1 Ln 30)</t>
        </is>
      </c>
      <c r="D87" s="103">
        <f>D84-D85-D86</f>
        <v/>
      </c>
      <c r="F87" s="101" t="inlineStr">
        <is>
          <t>Pg 1 Ln 30</t>
        </is>
      </c>
    </row>
    <row r="88" ht="21.75" customHeight="1" s="52">
      <c r="A88" s="79" t="inlineStr">
        <is>
          <t>Federal Tax (21%)</t>
        </is>
      </c>
      <c r="D88" s="80">
        <f>D87*0.21</f>
        <v/>
      </c>
      <c r="F88" s="75" t="inlineStr">
        <is>
          <t>Sch J Ln 2</t>
        </is>
      </c>
    </row>
    <row r="89"/>
    <row r="90" ht="21.75" customHeight="1" s="52">
      <c r="A90" s="77" t="inlineStr">
        <is>
          <t>DISTRIBUTIONS</t>
        </is>
      </c>
      <c r="B90" s="78" t="n"/>
      <c r="C90" s="78" t="n"/>
      <c r="D90" s="78" t="n"/>
      <c r="E90" s="78" t="n"/>
      <c r="F90" s="78" t="n"/>
    </row>
    <row r="91" ht="21.75" customHeight="1" s="52">
      <c r="A91" s="79" t="inlineStr">
        <is>
          <t>Cash Dividends Paid</t>
        </is>
      </c>
      <c r="B91" s="85" t="n"/>
      <c r="F91" s="75" t="inlineStr">
        <is>
          <t>M-2 Ln 5a</t>
        </is>
      </c>
    </row>
    <row r="92" ht="21.75" customHeight="1" s="52">
      <c r="A92" s="79" t="inlineStr">
        <is>
          <t>Stock Dividends</t>
        </is>
      </c>
      <c r="B92" s="85" t="n"/>
      <c r="F92" s="75" t="inlineStr">
        <is>
          <t>M-2 Ln 5b</t>
        </is>
      </c>
    </row>
    <row r="93" ht="21.75" customHeight="1" s="52">
      <c r="A93" s="79" t="inlineStr">
        <is>
          <t>Property Distributions</t>
        </is>
      </c>
      <c r="B93" s="85" t="n"/>
      <c r="F93" s="75" t="inlineStr">
        <is>
          <t>M-2 Ln 5c</t>
        </is>
      </c>
    </row>
    <row r="94" ht="21.75" customHeight="1" s="52">
      <c r="A94" s="99" t="inlineStr">
        <is>
          <t>TOTAL DISTRIBUTIONS</t>
        </is>
      </c>
      <c r="B94" s="100">
        <f>SUM(B91:B93)</f>
        <v/>
      </c>
      <c r="D94" s="100">
        <f>B94+C94</f>
        <v/>
      </c>
      <c r="F94" s="101" t="inlineStr">
        <is>
          <t>M-2</t>
        </is>
      </c>
    </row>
    <row r="95"/>
    <row r="96" ht="21.75" customHeight="1" s="52">
      <c r="A96" s="77" t="inlineStr">
        <is>
          <t>M-1 RECONCILIATION PROOF</t>
        </is>
      </c>
      <c r="B96" s="78" t="n"/>
      <c r="C96" s="78" t="n"/>
      <c r="D96" s="78" t="n"/>
      <c r="E96" s="78" t="n"/>
      <c r="F96" s="78" t="n"/>
    </row>
    <row r="97" ht="15" customHeight="1" s="52">
      <c r="A97" s="81" t="inlineStr">
        <is>
          <t>Book Net Income (M-1 Ln 1)</t>
        </is>
      </c>
      <c r="B97" s="86">
        <f>'PBC - P&amp;L'!B56</f>
        <v/>
      </c>
    </row>
    <row r="98" ht="15" customHeight="1" s="52">
      <c r="A98" s="81" t="inlineStr">
        <is>
          <t>Plus: M-1 Addbacks (Ln 2-5)</t>
        </is>
      </c>
      <c r="B98" s="86">
        <f>SUM(E56:E96)</f>
        <v/>
      </c>
    </row>
    <row r="99" ht="15" customHeight="1" s="52">
      <c r="A99" s="81" t="inlineStr">
        <is>
          <t>Less: M-1 Deductions (Ln 7-8)</t>
        </is>
      </c>
      <c r="B99" s="86">
        <f>SUM(E39:E52)</f>
        <v/>
      </c>
    </row>
    <row r="100" ht="15" customHeight="1" s="52">
      <c r="A100" s="81" t="inlineStr">
        <is>
          <t>Equals: Taxable Income (Pg 1 Ln 28)</t>
        </is>
      </c>
      <c r="B100" s="83">
        <f>B97+B98-B99</f>
        <v/>
      </c>
    </row>
  </sheetData>
  <mergeCells count="11">
    <mergeCell ref="A38:F38"/>
    <mergeCell ref="A2:F2"/>
    <mergeCell ref="A90:F90"/>
    <mergeCell ref="A1:F1"/>
    <mergeCell ref="A6:F6"/>
    <mergeCell ref="A83:F83"/>
    <mergeCell ref="A3:F3"/>
    <mergeCell ref="A96:F96"/>
    <mergeCell ref="A21:F21"/>
    <mergeCell ref="A55:F55"/>
    <mergeCell ref="A29:F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2026-03-12T19:33:56Z</dcterms:created>
  <dcterms:modified xsi:type="dcterms:W3CDTF">2026-03-16T08:21:55Z</dcterms:modified>
  <cp:revision>0</cp:revision>
</cp:coreProperties>
</file>